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firstSheet="1"/>
  </bookViews>
  <sheets>
    <sheet name="Form Kosong" sheetId="1" r:id="rId1"/>
    <sheet name="CARA PENGISIAN" sheetId="5" r:id="rId2"/>
    <sheet name="Trendchart KPI Asst Man" sheetId="2" r:id="rId3"/>
    <sheet name="Sheet2" sheetId="6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WEAKNESS" hidden="1">'[2]ocean voyage'!#REF!</definedName>
    <definedName name="__123Graph_LBL_AWEAKNESS" hidden="1">'[2]ocean voyage'!#REF!</definedName>
    <definedName name="__123Graph_XWEAKNESS" hidden="1">'[2]ocean voyage'!#REF!</definedName>
    <definedName name="__Mkt2" hidden="1">'[3]ocean voyage'!#REF!</definedName>
    <definedName name="__mkt3" hidden="1">'[3]ocean voyage'!#REF!</definedName>
    <definedName name="__NDS1">#REF!</definedName>
    <definedName name="__NDS10">#REF!</definedName>
    <definedName name="__NDS11">#REF!</definedName>
    <definedName name="__NDS12">#REF!</definedName>
    <definedName name="__NDS2">#REF!</definedName>
    <definedName name="__NDS3">#REF!</definedName>
    <definedName name="__NDS4">#REF!</definedName>
    <definedName name="__NDS5">#REF!</definedName>
    <definedName name="__NDS6">#REF!</definedName>
    <definedName name="__NDS7">#REF!</definedName>
    <definedName name="__NDS8">#REF!</definedName>
    <definedName name="__NDS9">#REF!</definedName>
    <definedName name="__s10">#REF!</definedName>
    <definedName name="__s11">#REF!</definedName>
    <definedName name="__s12">#REF!</definedName>
    <definedName name="__s2">#REF!</definedName>
    <definedName name="__s3">#REF!</definedName>
    <definedName name="__s4">#REF!</definedName>
    <definedName name="__s5">#REF!</definedName>
    <definedName name="__s6">#REF!</definedName>
    <definedName name="__s7">#REF!</definedName>
    <definedName name="__s8">#REF!</definedName>
    <definedName name="__s9">#REF!</definedName>
    <definedName name="__sc1">#REF!</definedName>
    <definedName name="__sc10">#REF!</definedName>
    <definedName name="__SD1">'[4]2002'!#REF!</definedName>
    <definedName name="__SR01">[5]BUDGET_1999!#REF!</definedName>
    <definedName name="__SR02">[5]BUDGET_1999!#REF!</definedName>
    <definedName name="__SR03">[5]BUDGET_1999!#REF!</definedName>
    <definedName name="__SR04">[5]BUDGET_1999!#REF!</definedName>
    <definedName name="__SR10">[5]BUDGET_1999!$W$52</definedName>
    <definedName name="__SR11">[5]BUDGET_1999!$W$53</definedName>
    <definedName name="__SR12">[5]BUDGET_1999!$W$54</definedName>
    <definedName name="__SR2">[5]BUDGET_1999!$W$44</definedName>
    <definedName name="__SR3">[5]BUDGET_1999!$W$45</definedName>
    <definedName name="__sr4">#REF!</definedName>
    <definedName name="__sr5">#REF!</definedName>
    <definedName name="__sr6">#REF!</definedName>
    <definedName name="__sr7">#REF!</definedName>
    <definedName name="__sr8">#REF!</definedName>
    <definedName name="__sr9">#REF!</definedName>
    <definedName name="__SRA2">[5]BUDGET_1999!#REF!</definedName>
    <definedName name="__SRA3">[5]BUDGET_1999!#REF!</definedName>
    <definedName name="__SRA4">[5]BUDGET_1999!#REF!</definedName>
    <definedName name="__SRA5">[5]BUDGET_1999!#REF!</definedName>
    <definedName name="__SRA6">[5]BUDGET_1999!#REF!</definedName>
    <definedName name="__SRA7">[5]BUDGET_1999!#REF!</definedName>
    <definedName name="__SRA8">[5]BUDGET_1999!#REF!</definedName>
    <definedName name="__SRA9">[5]BUDGET_1999!#REF!</definedName>
    <definedName name="_Fill" hidden="1">#REF!</definedName>
    <definedName name="_Mkt2" hidden="1">'[6]ocean voyage'!#REF!</definedName>
    <definedName name="_mkt3" hidden="1">'[6]ocean voyage'!#REF!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Order1" hidden="1">255</definedName>
    <definedName name="_Parse_In" hidden="1">#REF!</definedName>
    <definedName name="_Regression_Int" hidden="1">1</definedName>
    <definedName name="_Regression_Y" hidden="1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R02">[7]BUDGET_1999!#REF!</definedName>
    <definedName name="_SR03">[7]BUDGET_1999!#REF!</definedName>
    <definedName name="_SR04">[7]BUDGET_1999!#REF!</definedName>
    <definedName name="_SR10">[7]BUDGET_1999!$W$52</definedName>
    <definedName name="_SR11">[7]BUDGET_1999!$W$53</definedName>
    <definedName name="_SR12">[7]BUDGET_1999!$W$54</definedName>
    <definedName name="_SR2">[7]BUDGET_1999!$W$44</definedName>
    <definedName name="_SR3">[7]BUDGET_1999!$W$45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3">[7]BUDGET_1999!#REF!</definedName>
    <definedName name="_SRA4">[7]BUDGET_1999!#REF!</definedName>
    <definedName name="_SRA5">[7]BUDGET_1999!#REF!</definedName>
    <definedName name="_SRA6">[7]BUDGET_1999!#REF!</definedName>
    <definedName name="_SRA7">[7]BUDGET_1999!#REF!</definedName>
    <definedName name="_SRA8">[7]BUDGET_1999!#REF!</definedName>
    <definedName name="_SRA9">[7]BUDGET_1999!#REF!</definedName>
    <definedName name="aaa">#REF!</definedName>
    <definedName name="acerbis">NA()</definedName>
    <definedName name="Adipama">NA()</definedName>
    <definedName name="area">'[9]2002'!#REF!</definedName>
    <definedName name="asd" hidden="1">'[6]ocean voyage'!#REF!</definedName>
    <definedName name="AVERAGE">NA()</definedName>
    <definedName name="b">NA()</definedName>
    <definedName name="bb">[10]BUDGET_1999!#REF!</definedName>
    <definedName name="belijuga">'[9]2002'!#REF!</definedName>
    <definedName name="BigNum">200</definedName>
    <definedName name="Bintang">NA()</definedName>
    <definedName name="Blnks">NA()</definedName>
    <definedName name="Blns">NA()</definedName>
    <definedName name="BONUSAGUST">[11]Sheet8!$AE$21</definedName>
    <definedName name="BONUSAPR">[11]Sheet8!$AA$21</definedName>
    <definedName name="BONUSDES">[11]Sheet8!$AI$21</definedName>
    <definedName name="BONUSFEB">[11]Sheet8!$Y$21</definedName>
    <definedName name="BONUSJAN">[11]Sheet8!$X$21</definedName>
    <definedName name="BONUSJUL">[11]Sheet8!$AD$21</definedName>
    <definedName name="BONUSJUN">[11]Sheet8!$AC$21</definedName>
    <definedName name="BONUSMEI">[11]Sheet8!$AB$21</definedName>
    <definedName name="BONUSMRT">[11]Sheet8!$Z$21</definedName>
    <definedName name="BONUSNOP">[11]Sheet8!$AH$21</definedName>
    <definedName name="BONUSOKT">[11]Sheet8!$AG$21</definedName>
    <definedName name="BONUSSEPT">[11]Sheet8!$AF$21</definedName>
    <definedName name="Busi">NA()</definedName>
    <definedName name="BUSI_K">NA()</definedName>
    <definedName name="Cash_beginning_1">'[12]Cash Flow _2_'!#REF!</definedName>
    <definedName name="CATDET2">NA()</definedName>
    <definedName name="catdet34">'[9]2002'!#REF!</definedName>
    <definedName name="CD_Area">'[13]List Area'!$B$6:$B$81</definedName>
    <definedName name="CDIPRO">NA()</definedName>
    <definedName name="Cinta">NA()</definedName>
    <definedName name="Ck">NA()</definedName>
    <definedName name="Cn">NA()</definedName>
    <definedName name="COUNTER">[1]HONDA!#REF!</definedName>
    <definedName name="cr">'[9]2002'!#REF!</definedName>
    <definedName name="creativ">'[9]2002'!#REF!</definedName>
    <definedName name="credit">'[9]2002'!#REF!</definedName>
    <definedName name="credit4">'[9]2002'!#REF!</definedName>
    <definedName name="CST_CD">[14]CustomerList!#REF!</definedName>
    <definedName name="CUB42T">NA()</definedName>
    <definedName name="cv">'[9]2002'!#REF!</definedName>
    <definedName name="Depts">NA()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river">'[15]Tabel-tabel'!$C$10:$C$69</definedName>
    <definedName name="Excel_BuiltIn__FilterDatabase_2">#REF!</definedName>
    <definedName name="Excel_BuiltIn__FilterDatabase_4">'[16]Master Karyawan'!$C$1:$H$548</definedName>
    <definedName name="Excel_BuiltIn__FilterDatabase_5">'[16]Master Karyawan'!$C$1:$H$578</definedName>
    <definedName name="Excel_BuiltIn_Print_Area">NA()</definedName>
    <definedName name="FitX">NA()</definedName>
    <definedName name="Fuelman">'[15]Tabel-tabel'!$C$4:$C$6</definedName>
    <definedName name="Generator">NA()</definedName>
    <definedName name="gg">'[8]2002'!#REF!</definedName>
    <definedName name="GRAFIK">NA()</definedName>
    <definedName name="Graph123" hidden="1">'[17]ocean voyage'!#REF!</definedName>
    <definedName name="GraphX" hidden="1">'[17]ocean voyage'!#REF!</definedName>
    <definedName name="grapik" hidden="1">'[18]ocean voyage'!#REF!</definedName>
    <definedName name="GrqphLabel" hidden="1">'[17]ocean voyage'!#REF!</definedName>
    <definedName name="GTW">NA()</definedName>
    <definedName name="H.1">#REF!</definedName>
    <definedName name="hgf" hidden="1">#REF!</definedName>
    <definedName name="hghgjghj">#REF!</definedName>
    <definedName name="iBln">NA()</definedName>
    <definedName name="ImproveIT">NA()</definedName>
    <definedName name="JASAAGUST">[19]Sheet8!$AU$158</definedName>
    <definedName name="JASAAPR">[19]Sheet8!$AQ$158</definedName>
    <definedName name="JASADES">[19]Sheet8!$AY$158</definedName>
    <definedName name="JASAFEB">[19]Sheet8!$AO$158</definedName>
    <definedName name="JASAJAN">[19]Sheet8!$AN$158</definedName>
    <definedName name="JASAJUL">[19]Sheet8!$AT$158</definedName>
    <definedName name="JASAJUN">[19]Sheet8!$AS$158</definedName>
    <definedName name="JASAMEI">[19]Sheet8!$AR$158</definedName>
    <definedName name="JASAMRT">[19]Sheet8!$AP$158</definedName>
    <definedName name="JASANOP">[19]Sheet8!$AX$158</definedName>
    <definedName name="JASAOKT">[19]Sheet8!$AW$158</definedName>
    <definedName name="JASASEPT">[19]Sheet8!$AV$158</definedName>
    <definedName name="JOPROAGUST">[19]Sheet8!$AE$15</definedName>
    <definedName name="JOPROAPR">[19]Sheet8!$AA$15</definedName>
    <definedName name="JOPRODES">[19]Sheet8!$AI$15</definedName>
    <definedName name="JOPROFEB">[19]Sheet8!$Y$15</definedName>
    <definedName name="JOPROJAN">[19]Sheet8!$X$15</definedName>
    <definedName name="JOPROJUL">[19]Sheet8!$AD$15</definedName>
    <definedName name="JOPROJUN">[19]Sheet8!$AC$15</definedName>
    <definedName name="JOPROMEI">[19]Sheet8!$AB$15</definedName>
    <definedName name="JOPROMRT">[19]Sheet8!$Z$15</definedName>
    <definedName name="JOPRONOP">[19]Sheet8!$AH$15</definedName>
    <definedName name="JOPROOKT">[19]Sheet8!$AG$15</definedName>
    <definedName name="JOPROSEPT">[19]Sheet8!$AF$15</definedName>
    <definedName name="jualanmotor">[20]Indr!$D$4:$AI$51</definedName>
    <definedName name="jualbeli">[20]Indr!$D$4:$AI$51</definedName>
    <definedName name="Karisma">NA()</definedName>
    <definedName name="Kendaraan">'[15]Tabel-tabel'!$G$10:$G$59</definedName>
    <definedName name="Koli">NA()</definedName>
    <definedName name="Kolks">NA()</definedName>
    <definedName name="Kols">NA()</definedName>
    <definedName name="KPB">NA()</definedName>
    <definedName name="KTP">NA()</definedName>
    <definedName name="llllll">[20]Indr!$D$4:$AI$51</definedName>
    <definedName name="LRs">NA()</definedName>
    <definedName name="MAXPRINTS">[1]HONDA!#REF!</definedName>
    <definedName name="MegaPro">NA()</definedName>
    <definedName name="Mutiara">NA()</definedName>
    <definedName name="n">NA()</definedName>
    <definedName name="NAMA_CUSTOMER">[14]CustomerList!$B$2:$B$286</definedName>
    <definedName name="NDSM1">[7]BUDGET_1999!$W$43</definedName>
    <definedName name="OFF">[1]HONDA!#REF!</definedName>
    <definedName name="ON">[1]HONDA!#REF!</definedName>
    <definedName name="PDCAGUST">[11]Sheet8!$AE$26</definedName>
    <definedName name="PDCAPR">[11]Sheet8!$AA$26</definedName>
    <definedName name="PDCDES">[11]Sheet8!$AI$26</definedName>
    <definedName name="PDCFEB">[11]Sheet8!$Y$26</definedName>
    <definedName name="PDCJAN">[11]Sheet8!$X$26</definedName>
    <definedName name="PDCJUL">[11]Sheet8!$AD$26</definedName>
    <definedName name="PDCJUN">[11]Sheet8!$AC$26</definedName>
    <definedName name="PDCMEI">[11]Sheet8!$AB$26</definedName>
    <definedName name="PDCMRT">[11]Sheet8!$Z$26</definedName>
    <definedName name="PDCNOP">[11]Sheet8!$AH$26</definedName>
    <definedName name="PDCOKT">[11]Sheet8!$AG$26</definedName>
    <definedName name="PDCSEPT">[11]Sheet8!$AF$26</definedName>
    <definedName name="PEMBSPAGUST">[19]Sheet8!$AU$177</definedName>
    <definedName name="PEMBSPAPR">[19]Sheet8!$AQ$177</definedName>
    <definedName name="PEMBSPDES">[19]Sheet8!$AY$177</definedName>
    <definedName name="PEMBSPFEB">[19]Sheet8!$AO$177</definedName>
    <definedName name="PEMBSPJAN">[19]Sheet8!$AN$177</definedName>
    <definedName name="PEMBSPJUL">[19]Sheet8!$AT$177</definedName>
    <definedName name="PEMBSPJUN">[19]Sheet8!$AS$177</definedName>
    <definedName name="PEMBSPMEI">[19]Sheet8!$AR$177</definedName>
    <definedName name="PEMBSPMRT">[19]Sheet8!$AP$177</definedName>
    <definedName name="PEMBSPNOP">[19]Sheet8!$AX$177</definedName>
    <definedName name="PEMBSPOKT">[19]Sheet8!$AW$177</definedName>
    <definedName name="PEMBSPSEPT">[19]Sheet8!$AV$177</definedName>
    <definedName name="PENJSPAGUST">[19]Sheet8!$AU$157</definedName>
    <definedName name="PENJSPAPR">[19]Sheet8!$AQ$157</definedName>
    <definedName name="PENJSPDES">[19]Sheet8!$AY$157</definedName>
    <definedName name="PENJSPFEB">[19]Sheet8!$AO$157</definedName>
    <definedName name="PENJSPJAN">[19]Sheet8!$AN$157</definedName>
    <definedName name="PENJSPJUL">[19]Sheet8!$AT$157</definedName>
    <definedName name="PENJSPJUN">[19]Sheet8!$AS$157</definedName>
    <definedName name="PENJSPMEI">[19]Sheet8!$AR$157</definedName>
    <definedName name="PENJSPMRT">[19]Sheet8!$AP$157</definedName>
    <definedName name="PENJSPNOP">[19]Sheet8!$AX$157</definedName>
    <definedName name="PENJSPOKT">[19]Sheet8!$AW$157</definedName>
    <definedName name="PENJSPSEPT">[19]Sheet8!$AV$157</definedName>
    <definedName name="PENYBKLJAN">[11]Sheet8!$AN$140</definedName>
    <definedName name="PGrage">NA()</definedName>
    <definedName name="PIC">NA()</definedName>
    <definedName name="PICirebon">NA()</definedName>
    <definedName name="POTMSR4">[7]BUDGET_1999!#REF!</definedName>
    <definedName name="POTMSR5">[7]BUDGET_1999!#REF!</definedName>
    <definedName name="POTMSR6">[7]BUDGET_1999!#REF!</definedName>
    <definedName name="POTMSR7">[7]BUDGET_1999!#REF!</definedName>
    <definedName name="POTMSR8">[7]BUDGET_1999!#REF!</definedName>
    <definedName name="POTMSR9">[7]BUDGET_1999!#REF!</definedName>
    <definedName name="PRINT_AREA_MI">NA()</definedName>
    <definedName name="psd">#REF!</definedName>
    <definedName name="q" hidden="1">'[2]ocean voyage'!#REF!</definedName>
    <definedName name="QWQ">#REF!</definedName>
    <definedName name="ratarata">#REF!</definedName>
    <definedName name="REV.BRCH">#REF!</definedName>
    <definedName name="Sangkuriang">NA()</definedName>
    <definedName name="Semarak">NA()</definedName>
    <definedName name="Shift">[22]Other!$B$5:$B$6</definedName>
    <definedName name="SiBolang">NA()</definedName>
    <definedName name="smtr5">#REF!</definedName>
    <definedName name="SPO42T">NA()</definedName>
    <definedName name="spo43y">'[9]2002'!#REF!</definedName>
    <definedName name="sporttype">'[9]2002'!#REF!</definedName>
    <definedName name="spots5">'[9]2002'!#REF!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tart_date">#REF!</definedName>
    <definedName name="status_1">'[23]QMS2007'!#REF!</definedName>
    <definedName name="status_3">[24]Sheet3!$A$2:$A$4</definedName>
    <definedName name="test">#REF!</definedName>
    <definedName name="Thnks">NA()</definedName>
    <definedName name="Thns">NA()</definedName>
    <definedName name="TimurC">NA()</definedName>
    <definedName name="Transaksi_Solar">'[15]Tabel-tabel'!$G$4:$G$5</definedName>
    <definedName name="Trust">NA()</definedName>
    <definedName name="Tujuan">[22]Other!$E$5:$E$6</definedName>
    <definedName name="unicorn">NA()</definedName>
    <definedName name="Unit">[22]Unit!$C$5:$C$49</definedName>
    <definedName name="v">NA()</definedName>
    <definedName name="vario">NA()</definedName>
    <definedName name="vold">'[21]2002'!#REF!</definedName>
    <definedName name="valuevx">42.314159</definedName>
    <definedName name="vertex42_copyright" hidden="1">"© 2017-2021 Vertex42 LLC"</definedName>
    <definedName name="vertex42_id" hidden="1">"action-items-template.xlsx"</definedName>
    <definedName name="vertex42_title" hidden="1">"Action Items Template"</definedName>
    <definedName name="fil" localSheetId="0">#REF!:INDEX(#REF!,LR1_2)</definedName>
    <definedName name="file" localSheetId="0">MATCH(BigNum,#REF!)</definedName>
    <definedName name="KPI" localSheetId="0">#REF!:INDEX(#REF!,LR1_2)</definedName>
    <definedName name="_xlnm.Print_Area" localSheetId="0">'Form Kosong'!$A$1:$K$49</definedName>
    <definedName name="fil">#REF!:INDEX(#REF!,LR1_2)</definedName>
    <definedName name="file">MATCH(BigNum,#REF!)</definedName>
    <definedName name="KPI">#REF!:INDEX(#REF!,LR1_2)</definedName>
    <definedName name="\a" localSheetId="2">[1]HONDA!#REF!</definedName>
    <definedName name="\b" localSheetId="2">[1]HONDA!#REF!</definedName>
    <definedName name="\c" localSheetId="2">[1]HONDA!#REF!</definedName>
    <definedName name="\d" localSheetId="2">[1]HONDA!#REF!</definedName>
    <definedName name="\e" localSheetId="2">[1]HONDA!#REF!</definedName>
    <definedName name="\f" localSheetId="2">[1]HONDA!#REF!</definedName>
    <definedName name="\h" localSheetId="2">[1]HONDA!#REF!</definedName>
    <definedName name="\i" localSheetId="2">[1]HONDA!#REF!</definedName>
    <definedName name="\j" localSheetId="2">[1]HONDA!#REF!</definedName>
    <definedName name="\k" localSheetId="2">[1]HONDA!#REF!</definedName>
    <definedName name="\m" localSheetId="2">[1]HONDA!#REF!</definedName>
    <definedName name="\n" localSheetId="2">[1]HONDA!#REF!</definedName>
    <definedName name="\p" localSheetId="2">[1]HONDA!#REF!</definedName>
    <definedName name="\q" localSheetId="2">[1]HONDA!#REF!</definedName>
    <definedName name="\r" localSheetId="2">[1]HONDA!#REF!</definedName>
    <definedName name="\s" localSheetId="2">[1]HONDA!#REF!</definedName>
    <definedName name="\w" localSheetId="2">[1]HONDA!#REF!</definedName>
    <definedName name="___LR1" localSheetId="2">MATCH(BigNum,#REF!)</definedName>
    <definedName name="__123Graph_AWEAKNESS" localSheetId="2" hidden="1">'[2]ocean voyage'!#REF!</definedName>
    <definedName name="__123Graph_LBL_AWEAKNESS" localSheetId="2" hidden="1">'[2]ocean voyage'!#REF!</definedName>
    <definedName name="__123Graph_XWEAKNESS" localSheetId="2" hidden="1">'[2]ocean voyage'!#REF!</definedName>
    <definedName name="__Bln2" localSheetId="2">#REF!:INDEX(#REF!,'Trendchart KPI Asst Man'!LR)</definedName>
    <definedName name="__Kol2" localSheetId="2">#REF!:INDEX(#REF!,'Trendchart KPI Asst Man'!LR)</definedName>
    <definedName name="__LR1" localSheetId="2">MATCH(BigNum,#REF!)</definedName>
    <definedName name="__Mkt2" localSheetId="2" hidden="1">'[3]ocean voyage'!#REF!</definedName>
    <definedName name="__mkt3" localSheetId="2" hidden="1">'[3]ocean voyage'!#REF!</definedName>
    <definedName name="__NDS1" localSheetId="2">#REF!</definedName>
    <definedName name="__NDS10" localSheetId="2">#REF!</definedName>
    <definedName name="__NDS11" localSheetId="2">#REF!</definedName>
    <definedName name="__NDS12" localSheetId="2">#REF!</definedName>
    <definedName name="__NDS2" localSheetId="2">#REF!</definedName>
    <definedName name="__NDS3" localSheetId="2">#REF!</definedName>
    <definedName name="__NDS4" localSheetId="2">#REF!</definedName>
    <definedName name="__NDS5" localSheetId="2">#REF!</definedName>
    <definedName name="__NDS6" localSheetId="2">#REF!</definedName>
    <definedName name="__NDS7" localSheetId="2">#REF!</definedName>
    <definedName name="__NDS8" localSheetId="2">#REF!</definedName>
    <definedName name="__NDS9" localSheetId="2">#REF!</definedName>
    <definedName name="__s10" localSheetId="2">#REF!</definedName>
    <definedName name="__s11" localSheetId="2">#REF!</definedName>
    <definedName name="__s12" localSheetId="2">#REF!</definedName>
    <definedName name="__s2" localSheetId="2">#REF!</definedName>
    <definedName name="__s3" localSheetId="2">#REF!</definedName>
    <definedName name="__s4" localSheetId="2">#REF!</definedName>
    <definedName name="__s5" localSheetId="2">#REF!</definedName>
    <definedName name="__s6" localSheetId="2">#REF!</definedName>
    <definedName name="__s7" localSheetId="2">#REF!</definedName>
    <definedName name="__s8" localSheetId="2">#REF!</definedName>
    <definedName name="__s9" localSheetId="2">#REF!</definedName>
    <definedName name="__sc1" localSheetId="2">#REF!</definedName>
    <definedName name="__sc10" localSheetId="2">#REF!</definedName>
    <definedName name="__SD1" localSheetId="2">'[4]2002'!#REF!</definedName>
    <definedName name="__SR01" localSheetId="2">[5]BUDGET_1999!#REF!</definedName>
    <definedName name="__SR02" localSheetId="2">[5]BUDGET_1999!#REF!</definedName>
    <definedName name="__SR03" localSheetId="2">[5]BUDGET_1999!#REF!</definedName>
    <definedName name="__SR04" localSheetId="2">[5]BUDGET_1999!#REF!</definedName>
    <definedName name="__sr4" localSheetId="2">#REF!</definedName>
    <definedName name="__sr5" localSheetId="2">#REF!</definedName>
    <definedName name="__sr6" localSheetId="2">#REF!</definedName>
    <definedName name="__sr7" localSheetId="2">#REF!</definedName>
    <definedName name="__sr8" localSheetId="2">#REF!</definedName>
    <definedName name="__sr9" localSheetId="2">#REF!</definedName>
    <definedName name="__SRA2" localSheetId="2">[5]BUDGET_1999!#REF!</definedName>
    <definedName name="__SRA3" localSheetId="2">[5]BUDGET_1999!#REF!</definedName>
    <definedName name="__SRA4" localSheetId="2">[5]BUDGET_1999!#REF!</definedName>
    <definedName name="__SRA5" localSheetId="2">[5]BUDGET_1999!#REF!</definedName>
    <definedName name="__SRA6" localSheetId="2">[5]BUDGET_1999!#REF!</definedName>
    <definedName name="__SRA7" localSheetId="2">[5]BUDGET_1999!#REF!</definedName>
    <definedName name="__SRA8" localSheetId="2">[5]BUDGET_1999!#REF!</definedName>
    <definedName name="__SRA9" localSheetId="2">[5]BUDGET_1999!#REF!</definedName>
    <definedName name="__Thn2" localSheetId="2">#REF!:INDEX(#REF!,'Trendchart KPI Asst Man'!LR)</definedName>
    <definedName name="_Bln2" localSheetId="2">#REF!:INDEX(#REF!,'Trendchart KPI Asst Man'!LR)</definedName>
    <definedName name="_Fill" localSheetId="2" hidden="1">#REF!</definedName>
    <definedName name="_Key1" localSheetId="2" hidden="1">'[25]JLSNER-HD99_'!#REF!</definedName>
    <definedName name="_Kol2" localSheetId="2">#REF!:INDEX(#REF!,'Trendchart KPI Asst Man'!LR)</definedName>
    <definedName name="_LR1" localSheetId="2">MATCH(BigNum,#REF!)</definedName>
    <definedName name="_Mkt2" localSheetId="2" hidden="1">'[6]ocean voyage'!#REF!</definedName>
    <definedName name="_mkt3" localSheetId="2" hidden="1">'[6]ocean voyage'!#REF!</definedName>
    <definedName name="_NDS1" localSheetId="2">#REF!</definedName>
    <definedName name="_NDS10" localSheetId="2">#REF!</definedName>
    <definedName name="_NDS11" localSheetId="2">#REF!</definedName>
    <definedName name="_NDS12" localSheetId="2">#REF!</definedName>
    <definedName name="_NDS2" localSheetId="2">#REF!</definedName>
    <definedName name="_NDS3" localSheetId="2">#REF!</definedName>
    <definedName name="_NDS4" localSheetId="2">#REF!</definedName>
    <definedName name="_NDS5" localSheetId="2">#REF!</definedName>
    <definedName name="_NDS6" localSheetId="2">#REF!</definedName>
    <definedName name="_NDS7" localSheetId="2">#REF!</definedName>
    <definedName name="_NDS8" localSheetId="2">#REF!</definedName>
    <definedName name="_NDS9" localSheetId="2">#REF!</definedName>
    <definedName name="_Parse_In" localSheetId="2" hidden="1">#REF!</definedName>
    <definedName name="_Regression_Y" localSheetId="2" hidden="1">#REF!</definedName>
    <definedName name="_s10" localSheetId="2">#REF!</definedName>
    <definedName name="_s11" localSheetId="2">#REF!</definedName>
    <definedName name="_s12" localSheetId="2">#REF!</definedName>
    <definedName name="_s2" localSheetId="2">#REF!</definedName>
    <definedName name="_s3" localSheetId="2">#REF!</definedName>
    <definedName name="_s4" localSheetId="2">#REF!</definedName>
    <definedName name="_s5" localSheetId="2">#REF!</definedName>
    <definedName name="_s6" localSheetId="2">#REF!</definedName>
    <definedName name="_s7" localSheetId="2">#REF!</definedName>
    <definedName name="_s8" localSheetId="2">#REF!</definedName>
    <definedName name="_s9" localSheetId="2">#REF!</definedName>
    <definedName name="_sc1" localSheetId="2">#REF!</definedName>
    <definedName name="_sc10" localSheetId="2">#REF!</definedName>
    <definedName name="_SD1" localSheetId="2">'[26]2002'!#REF!</definedName>
    <definedName name="_Sort" localSheetId="2" hidden="1">#REF!</definedName>
    <definedName name="_SR01" localSheetId="2">[7]BUDGET_1999!#REF!</definedName>
    <definedName name="_SR02" localSheetId="2">[7]BUDGET_1999!#REF!</definedName>
    <definedName name="_SR03" localSheetId="2">[7]BUDGET_1999!#REF!</definedName>
    <definedName name="_SR04" localSheetId="2">[7]BUDGET_1999!#REF!</definedName>
    <definedName name="_sr4" localSheetId="2">#REF!</definedName>
    <definedName name="_sr5" localSheetId="2">#REF!</definedName>
    <definedName name="_sr6" localSheetId="2">#REF!</definedName>
    <definedName name="_sr7" localSheetId="2">#REF!</definedName>
    <definedName name="_sr8" localSheetId="2">#REF!</definedName>
    <definedName name="_sr9" localSheetId="2">#REF!</definedName>
    <definedName name="_SRA2" localSheetId="2">[7]BUDGET_1999!#REF!</definedName>
    <definedName name="_SRA3" localSheetId="2">[7]BUDGET_1999!#REF!</definedName>
    <definedName name="_SRA4" localSheetId="2">[7]BUDGET_1999!#REF!</definedName>
    <definedName name="_SRA5" localSheetId="2">[7]BUDGET_1999!#REF!</definedName>
    <definedName name="_SRA6" localSheetId="2">[7]BUDGET_1999!#REF!</definedName>
    <definedName name="_SRA7" localSheetId="2">[7]BUDGET_1999!#REF!</definedName>
    <definedName name="_SRA8" localSheetId="2">[7]BUDGET_1999!#REF!</definedName>
    <definedName name="_SRA9" localSheetId="2">[7]BUDGET_1999!#REF!</definedName>
    <definedName name="_Thn2" localSheetId="2">#REF!:INDEX(#REF!,'Trendchart KPI Asst Man'!LR)</definedName>
    <definedName name="a" localSheetId="2">'[8]2002'!#REF!</definedName>
    <definedName name="AA" localSheetId="2" hidden="1">#REF!</definedName>
    <definedName name="aaa" localSheetId="2">#REF!</definedName>
    <definedName name="acd" localSheetId="2" hidden="1">'[27]ocean voyage'!#REF!</definedName>
    <definedName name="alfon" localSheetId="2">#REF!</definedName>
    <definedName name="ar" localSheetId="2">'[9]2002'!#REF!</definedName>
    <definedName name="area" localSheetId="2">'[9]2002'!#REF!</definedName>
    <definedName name="asd" localSheetId="2" hidden="1">'[6]ocean voyage'!#REF!</definedName>
    <definedName name="bb" localSheetId="2">[10]BUDGET_1999!#REF!</definedName>
    <definedName name="belijuga" localSheetId="2">'[9]2002'!#REF!</definedName>
    <definedName name="Bln" localSheetId="2">#REF!:INDEX(#REF!,'Trendchart KPI Asst Man'!__LR1)</definedName>
    <definedName name="Bln_2" localSheetId="2">#REF!:INDEX(#REF!,'Trendchart KPI Asst Man'!LR1_2)</definedName>
    <definedName name="BlnK" localSheetId="2">#REF!:INDEX(#REF!,'Trendchart KPI Asst Man'!__LR1)</definedName>
    <definedName name="BlnK_2" localSheetId="2">#REF!:INDEX(#REF!,'Trendchart KPI Asst Man'!LR1_2)</definedName>
    <definedName name="cash" localSheetId="2">'[9]2002'!#REF!</definedName>
    <definedName name="Cash_beginning_1" localSheetId="2">'[12]Cash Flow _2_'!#REF!</definedName>
    <definedName name="Cash_minimum" localSheetId="2">#REF!</definedName>
    <definedName name="catdet34" localSheetId="2">'[9]2002'!#REF!</definedName>
    <definedName name="circle" localSheetId="2">#REF!</definedName>
    <definedName name="coba" localSheetId="2">#REF!</definedName>
    <definedName name="cop" localSheetId="2">'[9]2002'!#REF!</definedName>
    <definedName name="COUNTER" localSheetId="2">[1]HONDA!#REF!</definedName>
    <definedName name="cr" localSheetId="2">'[9]2002'!#REF!</definedName>
    <definedName name="creativ" localSheetId="2">'[9]2002'!#REF!</definedName>
    <definedName name="cred" localSheetId="2">#REF!</definedName>
    <definedName name="credit" localSheetId="2">'[9]2002'!#REF!</definedName>
    <definedName name="credit4" localSheetId="2">'[9]2002'!#REF!</definedName>
    <definedName name="CST_CD" localSheetId="2">[14]CustomerList!#REF!</definedName>
    <definedName name="cv" localSheetId="2">'[9]2002'!#REF!</definedName>
    <definedName name="D" localSheetId="2">#REF!</definedName>
    <definedName name="DEPT" localSheetId="2">#REF!</definedName>
    <definedName name="Dept_2" localSheetId="2">#REF!:INDEX(#REF!,'Trendchart KPI Asst Man'!LR1_2)</definedName>
    <definedName name="Dept2" localSheetId="2">#REF!:INDEX(#REF!,'Trendchart KPI Asst Man'!LR)</definedName>
    <definedName name="DISCMSR1" localSheetId="2">#REF!</definedName>
    <definedName name="DISCMSR10" localSheetId="2">#REF!</definedName>
    <definedName name="DISCMSR11" localSheetId="2">#REF!</definedName>
    <definedName name="DISCMSR12" localSheetId="2">#REF!</definedName>
    <definedName name="DISCMSR2" localSheetId="2">#REF!</definedName>
    <definedName name="DISCMSR3" localSheetId="2">#REF!</definedName>
    <definedName name="DISCMSR4" localSheetId="2">#REF!</definedName>
    <definedName name="DISCMSR5" localSheetId="2">#REF!</definedName>
    <definedName name="DISCMSR6" localSheetId="2">#REF!</definedName>
    <definedName name="DISCMSR7" localSheetId="2">#REF!</definedName>
    <definedName name="DISCMSR8" localSheetId="2">#REF!</definedName>
    <definedName name="DISCMSR9" localSheetId="2">#REF!</definedName>
    <definedName name="DIV" localSheetId="2">#REF!</definedName>
    <definedName name="Draft" localSheetId="2">#REF!</definedName>
    <definedName name="ee" localSheetId="2">#REF!</definedName>
    <definedName name="Excel_BuiltIn__FilterDatabase_2" localSheetId="2">#REF!</definedName>
    <definedName name="Excel_BuiltIn__FilterDatabase_6" localSheetId="2">#REF!</definedName>
    <definedName name="FILL" localSheetId="2">[1]HONDA!#REF!</definedName>
    <definedName name="g" localSheetId="2" hidden="1">'[2]ocean voyage'!#REF!</definedName>
    <definedName name="gg" localSheetId="2">'[8]2002'!#REF!</definedName>
    <definedName name="Graph123" localSheetId="2" hidden="1">'[17]ocean voyage'!#REF!</definedName>
    <definedName name="GraphX" localSheetId="2" hidden="1">'[17]ocean voyage'!#REF!</definedName>
    <definedName name="grapik" localSheetId="2" hidden="1">'[18]ocean voyage'!#REF!</definedName>
    <definedName name="GrqphLabel" localSheetId="2" hidden="1">'[17]ocean voyage'!#REF!</definedName>
    <definedName name="H.1" localSheetId="2">#REF!</definedName>
    <definedName name="hgf" localSheetId="2" hidden="1">#REF!</definedName>
    <definedName name="hghgjghj" localSheetId="2">#REF!</definedName>
    <definedName name="Jml" localSheetId="2">#REF!:INDEX(#REF!,'Trendchart KPI Asst Man'!__LR1)</definedName>
    <definedName name="Jml_2" localSheetId="2">#REF!:INDEX(#REF!,'Trendchart KPI Asst Man'!LR1_2)</definedName>
    <definedName name="jns" localSheetId="2">#REF!:INDEX(#REF!,'Trendchart KPI Asst Man'!LR)</definedName>
    <definedName name="jual" localSheetId="2">'[9]2002'!#REF!</definedName>
    <definedName name="kol" localSheetId="2">#REF!:INDEX(#REF!,'Trendchart KPI Asst Man'!__LR1)</definedName>
    <definedName name="Kry" localSheetId="2">#REF!:INDEX(#REF!,'Trendchart KPI Asst Man'!__LR1)</definedName>
    <definedName name="Kry_2" localSheetId="2">#REF!:INDEX(#REF!,'Trendchart KPI Asst Man'!LR1_2)</definedName>
    <definedName name="l" localSheetId="2">'[8]2002'!#REF!</definedName>
    <definedName name="LR" localSheetId="2">#REF!</definedName>
    <definedName name="LR1_2" localSheetId="2">MATCH(BigNum,#REF!)</definedName>
    <definedName name="MAXPRINTS" localSheetId="2">[1]HONDA!#REF!</definedName>
    <definedName name="nanona" localSheetId="2">'[21]2002'!#REF!</definedName>
    <definedName name="new" localSheetId="2" hidden="1">'[28]ocean voyage'!#REF!</definedName>
    <definedName name="OFF" localSheetId="2">[1]HONDA!#REF!</definedName>
    <definedName name="ON" localSheetId="2">[1]HONDA!#REF!</definedName>
    <definedName name="PIF" localSheetId="2">#REF!</definedName>
    <definedName name="POTMSR1" localSheetId="2">[7]BUDGET_1999!#REF!</definedName>
    <definedName name="POTMSR4" localSheetId="2">[7]BUDGET_1999!#REF!</definedName>
    <definedName name="POTMSR5" localSheetId="2">[7]BUDGET_1999!#REF!</definedName>
    <definedName name="POTMSR6" localSheetId="2">[7]BUDGET_1999!#REF!</definedName>
    <definedName name="POTMSR7" localSheetId="2">[7]BUDGET_1999!#REF!</definedName>
    <definedName name="POTMSR8" localSheetId="2">[7]BUDGET_1999!#REF!</definedName>
    <definedName name="POTMSR9" localSheetId="2">[7]BUDGET_1999!#REF!</definedName>
    <definedName name="print" localSheetId="2">#REF!</definedName>
    <definedName name="_xlnm.Print_Area" localSheetId="2">'Trendchart KPI Asst Man'!$A$1:$V$93</definedName>
    <definedName name="psd" localSheetId="2">#REF!</definedName>
    <definedName name="q" localSheetId="2" hidden="1">'[2]ocean voyage'!#REF!</definedName>
    <definedName name="QWQ" localSheetId="2">#REF!</definedName>
    <definedName name="ratarata" localSheetId="2">#REF!</definedName>
    <definedName name="REV.BRCH" localSheetId="2">#REF!</definedName>
    <definedName name="s" localSheetId="2">MATCH(BigNum,#REF!)</definedName>
    <definedName name="SD" localSheetId="2">'[29]2002'!#REF!</definedName>
    <definedName name="smtr5" localSheetId="2">#REF!</definedName>
    <definedName name="spo43y" localSheetId="2">'[9]2002'!#REF!</definedName>
    <definedName name="sporttype" localSheetId="2">'[9]2002'!#REF!</definedName>
    <definedName name="spots5" localSheetId="2">'[9]2002'!#REF!</definedName>
    <definedName name="SRAC1" localSheetId="2">#REF!</definedName>
    <definedName name="SRAC10" localSheetId="2">#REF!</definedName>
    <definedName name="SRAC11" localSheetId="2">#REF!</definedName>
    <definedName name="SRAC12" localSheetId="2">#REF!</definedName>
    <definedName name="SRAC2" localSheetId="2">#REF!</definedName>
    <definedName name="SRAC3" localSheetId="2">#REF!</definedName>
    <definedName name="SRAC4" localSheetId="2">#REF!</definedName>
    <definedName name="SRAC5" localSheetId="2">#REF!</definedName>
    <definedName name="SRAC6" localSheetId="2">#REF!</definedName>
    <definedName name="SRAC7" localSheetId="2">#REF!</definedName>
    <definedName name="SRAC8" localSheetId="2">#REF!</definedName>
    <definedName name="SRAC9" localSheetId="2">#REF!</definedName>
    <definedName name="Start_date" localSheetId="2">#REF!</definedName>
    <definedName name="status" localSheetId="2">#REF!</definedName>
    <definedName name="status_1" localSheetId="2">'[23]QMS2007'!#REF!</definedName>
    <definedName name="stock" localSheetId="2">'[9]2002'!#REF!</definedName>
    <definedName name="target" localSheetId="2">#REF!</definedName>
    <definedName name="tema" localSheetId="2">#REF!</definedName>
    <definedName name="test" localSheetId="2">#REF!</definedName>
    <definedName name="test2" localSheetId="2">#REF!</definedName>
    <definedName name="Thn" localSheetId="2">#REF!:INDEX(#REF!,'Trendchart KPI Asst Man'!__LR1)</definedName>
    <definedName name="Thn_2" localSheetId="2">#REF!:INDEX(#REF!,'Trendchart KPI Asst Man'!LR1_2)</definedName>
    <definedName name="ThnK" localSheetId="2">#REF!:INDEX(#REF!,'Trendchart KPI Asst Man'!__LR1)</definedName>
    <definedName name="ThnK_2" localSheetId="2">#REF!:INDEX(#REF!,'Trendchart KPI Asst Man'!LR1_2)</definedName>
    <definedName name="Training" localSheetId="2">#REF!</definedName>
    <definedName name="uhui" localSheetId="2">#REF!</definedName>
    <definedName name="vold" localSheetId="2">'[21]2002'!#REF!</definedName>
    <definedName name="fil" localSheetId="1">#REF!:INDEX(#REF!,LR1_2)</definedName>
    <definedName name="file" localSheetId="1">MATCH(BigNum,#REF!)</definedName>
    <definedName name="KPI" localSheetId="1">#REF!:INDEX(#REF!,LR1_2)</definedName>
    <definedName name="_xlnm.Print_Area" localSheetId="1">'CARA PENGISIAN'!$A$1:$K$49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IT-DEPT</author>
  </authors>
  <commentList>
    <comment ref="G8" authorId="0">
      <text>
        <r>
          <rPr>
            <sz val="9"/>
            <rFont val="Times New Roman"/>
            <charset val="0"/>
          </rPr>
          <t xml:space="preserve">untuk Periode di isi bulan dan Tahun
</t>
        </r>
      </text>
    </comment>
    <comment ref="E11" authorId="0">
      <text>
        <r>
          <rPr>
            <sz val="10"/>
            <rFont val="Times New Roman"/>
            <charset val="0"/>
          </rPr>
          <t xml:space="preserve">Satuan ditentukan berdasarkan Subject/KPI 
</t>
        </r>
      </text>
    </comment>
    <comment ref="F11" authorId="0">
      <text>
        <r>
          <rPr>
            <sz val="10"/>
            <rFont val="Times New Roman"/>
            <charset val="0"/>
          </rPr>
          <t xml:space="preserve">Bobot ditentukan berdasarkan tingkat kepentingan (prioritas) KPI, risk management dan juga sumber daya yang dialokasikan. Total Bobot keseluruhan harus berjumlah 100.
</t>
        </r>
      </text>
    </comment>
    <comment ref="H11" authorId="0">
      <text>
        <r>
          <rPr>
            <sz val="10"/>
            <rFont val="Times New Roman"/>
            <charset val="0"/>
          </rPr>
          <t xml:space="preserve">Target ditentukan berdasarkan kesepakatan dan juga pencapaian tahun sebelumnya. Penulisan angka Target sesuai dengan jenis satuannya
</t>
        </r>
      </text>
    </comment>
    <comment ref="I11" authorId="0">
      <text>
        <r>
          <rPr>
            <sz val="9"/>
            <rFont val="Times New Roman"/>
            <charset val="0"/>
          </rPr>
          <t xml:space="preserve">Aktual ditentukan berdasarkan hasil sesungguhnya yang diperoleh
</t>
        </r>
      </text>
    </comment>
    <comment ref="J11" authorId="0">
      <text>
        <r>
          <rPr>
            <sz val="9"/>
            <rFont val="Times New Roman"/>
            <charset val="0"/>
          </rPr>
          <t>Rumus umum menentukan score : 
Score = Actual : Target x Bobot 
Ketentuan Khusus 
Score = Target : Actual x Bobot 
Jika Score melebihi nilai bobot, maka 
Score = Bobot 
Score menggunakan :bilangan desimal</t>
        </r>
      </text>
    </comment>
  </commentList>
</comments>
</file>

<file path=xl/comments2.xml><?xml version="1.0" encoding="utf-8"?>
<comments xmlns="http://schemas.openxmlformats.org/spreadsheetml/2006/main">
  <authors>
    <author>OSS-10</author>
  </authors>
  <commentList>
    <comment ref="U8" authorId="0">
      <text>
        <r>
          <rPr>
            <b/>
            <sz val="24"/>
            <rFont val="Times New Roman"/>
            <charset val="0"/>
          </rPr>
          <t>1</t>
        </r>
        <r>
          <rPr>
            <sz val="24"/>
            <rFont val="Times New Roman"/>
            <charset val="0"/>
          </rPr>
          <t>. Grafik untuk background di sesuaikan berdasarkan pencapaian :
biru muda : target tercapai
pink muda : target tidak tercapai
2. Progress setiap bulannya harus tercantum di setiap periode --&gt; untuk menunjukan trend setiap bulannya
3. Kolom catatan harus di isi :
1. jika mencapai target --&gt; informasikan activity yang sudah di lakukan dan menjamin setiap bulannya target tercapai
2. Jika tidak tercapai --&gt; catat penyebab / countermeasure dan activity yang akan di lakukan untuk di next month target bisa tercapai
4. PICA dibuatkan ketika tidak achiev</t>
        </r>
      </text>
    </comment>
  </commentList>
</comments>
</file>

<file path=xl/sharedStrings.xml><?xml version="1.0" encoding="utf-8"?>
<sst xmlns="http://schemas.openxmlformats.org/spreadsheetml/2006/main" count="186" uniqueCount="85">
  <si>
    <t xml:space="preserve"> FRM-HRD-030 Rev.02</t>
  </si>
  <si>
    <t>Key Performance Indicator</t>
  </si>
  <si>
    <t>Nama</t>
  </si>
  <si>
    <t xml:space="preserve">: </t>
  </si>
  <si>
    <t>Tanggal Masuk</t>
  </si>
  <si>
    <t>NIK</t>
  </si>
  <si>
    <t>:</t>
  </si>
  <si>
    <t>Academic</t>
  </si>
  <si>
    <t>Jabatan</t>
  </si>
  <si>
    <t>Periode</t>
  </si>
  <si>
    <t>Department</t>
  </si>
  <si>
    <t>No.</t>
  </si>
  <si>
    <t>Subject</t>
  </si>
  <si>
    <t>KPI (Objective)</t>
  </si>
  <si>
    <t>UOM</t>
  </si>
  <si>
    <t>Bobot</t>
  </si>
  <si>
    <t>Sumber Data</t>
  </si>
  <si>
    <t>Target</t>
  </si>
  <si>
    <t>Actual</t>
  </si>
  <si>
    <t>Score</t>
  </si>
  <si>
    <t>Total</t>
  </si>
  <si>
    <t>Knowed</t>
  </si>
  <si>
    <t>Approved</t>
  </si>
  <si>
    <t>Prepared</t>
  </si>
  <si>
    <t>A. Rachman</t>
  </si>
  <si>
    <t>Mukhtadin</t>
  </si>
  <si>
    <t>Yulita Oktapiani</t>
  </si>
  <si>
    <t>BOD</t>
  </si>
  <si>
    <t>Plant Manager</t>
  </si>
  <si>
    <t>Asst. Manager MCL</t>
  </si>
  <si>
    <t xml:space="preserve">:  </t>
  </si>
  <si>
    <t>Rekruitment</t>
  </si>
  <si>
    <t>Terpenuhi jumlah kebutuhan karyawan &amp; Kualifikasi karyawan sesuai dengan kebutuhan perusahaan</t>
  </si>
  <si>
    <t>Hari</t>
  </si>
  <si>
    <t>Angka</t>
  </si>
  <si>
    <t xml:space="preserve"> FRM-HRD-030 Rev.01</t>
  </si>
  <si>
    <t>Performance Trend Chart Division
Periode : 2024</t>
  </si>
  <si>
    <t>Division</t>
  </si>
  <si>
    <t>Employee</t>
  </si>
  <si>
    <t>Departemen</t>
  </si>
  <si>
    <t>input data untuk sourc e grafik</t>
  </si>
  <si>
    <t>Trendchart KPI</t>
  </si>
  <si>
    <t>Catatan :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</si>
  <si>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</si>
  <si>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</si>
  <si>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</si>
  <si>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</si>
  <si>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</si>
  <si>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</si>
  <si>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</si>
  <si>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</si>
  <si>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</si>
  <si>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</si>
  <si>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</si>
  <si>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</si>
  <si>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Avg</t>
  </si>
  <si>
    <t>PIC</t>
  </si>
  <si>
    <t>STATUS</t>
  </si>
  <si>
    <t>Agust</t>
  </si>
  <si>
    <t>Nop</t>
  </si>
  <si>
    <t>List Dept</t>
  </si>
  <si>
    <t xml:space="preserve">Jabatan </t>
  </si>
  <si>
    <t>Finance, Acounting &amp; Cost Control</t>
  </si>
  <si>
    <t>HRD</t>
  </si>
  <si>
    <t>Assistant Manager</t>
  </si>
  <si>
    <t>HR-GA</t>
  </si>
  <si>
    <t>Leader</t>
  </si>
  <si>
    <t>HR-LND</t>
  </si>
  <si>
    <t>Staff</t>
  </si>
  <si>
    <t>IT</t>
  </si>
  <si>
    <t>Maintenance</t>
  </si>
  <si>
    <t>Produksi (HA Export)</t>
  </si>
  <si>
    <t>Produksi (PP Export)</t>
  </si>
  <si>
    <t>Produksi (HE-Dom)</t>
  </si>
  <si>
    <t>Produksi (Administrasi)</t>
  </si>
  <si>
    <t>SCM (PPIC Export)</t>
  </si>
  <si>
    <t>SCM (PPIC HE-Dom)</t>
  </si>
  <si>
    <t>SCM (MCL Export)</t>
  </si>
  <si>
    <t>SCM (MCL HE-Dom)</t>
  </si>
  <si>
    <t>SCM (Warehouse Export)</t>
  </si>
  <si>
    <t>SCM (Warehouse HE-Dom)</t>
  </si>
  <si>
    <t>Quality Management (QA)</t>
  </si>
  <si>
    <t>Quality Management (QC)</t>
  </si>
  <si>
    <t>Engineering (Process Engineering)</t>
  </si>
  <si>
    <t>Engineering (Product Development)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</si>
</sst>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53">
    <font>
      <sz val="11"/>
      <color theme="1"/>
      <name val="Calibri"/>
      <charset val="134"/>
      <scheme val="minor"/>
    </font>
    <font>
      <sz val="14"/>
      <color indexed="8"/>
      <name val="Calibri"/>
      <charset val="0"/>
    </font>
    <font>
      <sz val="11"/>
      <color indexed="8"/>
      <name val="Calibri"/>
      <charset val="0"/>
    </font>
    <font>
      <sz val="18"/>
      <color rgb="FF000000"/>
      <name val="Calibri"/>
      <charset val="0"/>
    </font>
    <font>
      <b/>
      <sz val="24"/>
      <color theme="0"/>
      <name val="Tahoma"/>
      <charset val="0"/>
    </font>
    <font>
      <b/>
      <sz val="22"/>
      <color indexed="8"/>
      <name val="Calibri"/>
      <charset val="0"/>
    </font>
    <font>
      <sz val="22"/>
      <color indexed="8"/>
      <name val="Calibri"/>
      <charset val="0"/>
    </font>
    <font>
      <b/>
      <sz val="14"/>
      <color indexed="8"/>
      <name val="Calibri"/>
      <charset val="0"/>
    </font>
    <font>
      <b/>
      <u/>
      <sz val="11"/>
      <color indexed="8"/>
      <name val="Calibri"/>
      <charset val="0"/>
    </font>
    <font>
      <b/>
      <u/>
      <sz val="18"/>
      <color indexed="8"/>
      <name val="Calibri"/>
      <charset val="0"/>
    </font>
    <font>
      <u/>
      <sz val="11"/>
      <color indexed="8"/>
      <name val="Calibri"/>
      <charset val="0"/>
    </font>
    <font>
      <b/>
      <sz val="12"/>
      <color indexed="8"/>
      <name val="Calibri"/>
      <charset val="0"/>
    </font>
    <font>
      <sz val="12"/>
      <color indexed="8"/>
      <name val="Calibri"/>
      <charset val="0"/>
    </font>
    <font>
      <b/>
      <sz val="18"/>
      <color indexed="8"/>
      <name val="Calibri"/>
      <charset val="0"/>
    </font>
    <font>
      <b/>
      <sz val="10"/>
      <color indexed="8"/>
      <name val="Calibri"/>
      <charset val="0"/>
    </font>
    <font>
      <sz val="18"/>
      <color indexed="8"/>
      <name val="Calibri"/>
      <charset val="0"/>
    </font>
    <font>
      <sz val="16"/>
      <color indexed="8"/>
      <name val="Times New Roman"/>
      <charset val="0"/>
    </font>
    <font>
      <sz val="15"/>
      <color indexed="8"/>
      <name val="Times New Roman"/>
      <charset val="0"/>
    </font>
    <font>
      <sz val="15"/>
      <color theme="1"/>
      <name val="Calibri"/>
      <charset val="134"/>
      <scheme val="minor"/>
    </font>
    <font>
      <b/>
      <sz val="14"/>
      <color indexed="8"/>
      <name val="Times New Roman"/>
      <charset val="0"/>
    </font>
    <font>
      <b/>
      <sz val="36"/>
      <color indexed="8"/>
      <name val="Times New Roman"/>
      <charset val="0"/>
    </font>
    <font>
      <sz val="15"/>
      <color theme="1"/>
      <name val="Times New Roman"/>
      <charset val="0"/>
    </font>
    <font>
      <b/>
      <sz val="14"/>
      <name val="Times New Roman"/>
      <charset val="0"/>
    </font>
    <font>
      <b/>
      <sz val="12"/>
      <name val="Calibri"/>
      <charset val="0"/>
    </font>
    <font>
      <b/>
      <sz val="18"/>
      <color indexed="8"/>
      <name val="Times New Roman"/>
      <charset val="0"/>
    </font>
    <font>
      <b/>
      <sz val="18"/>
      <color theme="1"/>
      <name val="Times New Roman"/>
      <charset val="134"/>
    </font>
    <font>
      <sz val="20"/>
      <color rgb="FF000000"/>
      <name val="Calibri"/>
      <charset val="0"/>
    </font>
    <font>
      <sz val="26"/>
      <color indexed="8"/>
      <name val="Calibri"/>
      <charset val="0"/>
    </font>
    <font>
      <sz val="12"/>
      <name val="Calibri"/>
      <charset val="0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Times New Roman"/>
      <charset val="0"/>
    </font>
    <font>
      <sz val="9"/>
      <name val="Times New Roman"/>
      <charset val="0"/>
    </font>
    <font>
      <b/>
      <sz val="24"/>
      <name val="Times New Roman"/>
      <charset val="0"/>
    </font>
    <font>
      <sz val="24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FDDFA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9" borderId="4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0" borderId="45" applyNumberFormat="0" applyAlignment="0" applyProtection="0">
      <alignment vertical="center"/>
    </xf>
    <xf numFmtId="0" fontId="39" fillId="11" borderId="46" applyNumberFormat="0" applyAlignment="0" applyProtection="0">
      <alignment vertical="center"/>
    </xf>
    <xf numFmtId="0" fontId="40" fillId="11" borderId="45" applyNumberFormat="0" applyAlignment="0" applyProtection="0">
      <alignment vertical="center"/>
    </xf>
    <xf numFmtId="0" fontId="41" fillId="12" borderId="47" applyNumberFormat="0" applyAlignment="0" applyProtection="0">
      <alignment vertical="center"/>
    </xf>
    <xf numFmtId="0" fontId="42" fillId="0" borderId="48" applyNumberFormat="0" applyFill="0" applyAlignment="0" applyProtection="0">
      <alignment vertical="center"/>
    </xf>
    <xf numFmtId="0" fontId="43" fillId="0" borderId="49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 applyProtection="0"/>
    <xf numFmtId="0" fontId="2" fillId="0" borderId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2" borderId="0" xfId="53" applyFont="1" applyFill="1" applyAlignment="1">
      <alignment horizontal="left" vertical="center"/>
    </xf>
    <xf numFmtId="0" fontId="2" fillId="2" borderId="0" xfId="53" applyFill="1" applyAlignment="1"/>
    <xf numFmtId="0" fontId="3" fillId="2" borderId="1" xfId="53" applyFont="1" applyFill="1" applyBorder="1" applyAlignment="1">
      <alignment horizontal="center" vertical="center"/>
    </xf>
    <xf numFmtId="0" fontId="3" fillId="2" borderId="2" xfId="53" applyFont="1" applyFill="1" applyBorder="1" applyAlignment="1">
      <alignment horizontal="center" vertical="center"/>
    </xf>
    <xf numFmtId="0" fontId="3" fillId="2" borderId="3" xfId="53" applyFont="1" applyFill="1" applyBorder="1" applyAlignment="1">
      <alignment horizontal="center" vertical="center"/>
    </xf>
    <xf numFmtId="0" fontId="4" fillId="3" borderId="1" xfId="53" applyFont="1" applyFill="1" applyBorder="1" applyAlignment="1">
      <alignment horizontal="center" vertical="center" wrapText="1"/>
    </xf>
    <xf numFmtId="0" fontId="4" fillId="3" borderId="2" xfId="53" applyFont="1" applyFill="1" applyBorder="1" applyAlignment="1">
      <alignment horizontal="center" vertical="center" wrapText="1"/>
    </xf>
    <xf numFmtId="0" fontId="4" fillId="3" borderId="3" xfId="53" applyFont="1" applyFill="1" applyBorder="1" applyAlignment="1">
      <alignment horizontal="center" vertical="center" wrapText="1"/>
    </xf>
    <xf numFmtId="0" fontId="4" fillId="3" borderId="4" xfId="53" applyFont="1" applyFill="1" applyBorder="1" applyAlignment="1">
      <alignment horizontal="center" vertical="center" wrapText="1"/>
    </xf>
    <xf numFmtId="0" fontId="4" fillId="3" borderId="0" xfId="53" applyFont="1" applyFill="1" applyAlignment="1">
      <alignment horizontal="center" vertical="center" wrapText="1"/>
    </xf>
    <xf numFmtId="0" fontId="4" fillId="3" borderId="5" xfId="53" applyFont="1" applyFill="1" applyBorder="1" applyAlignment="1">
      <alignment horizontal="center" vertical="center" wrapText="1"/>
    </xf>
    <xf numFmtId="0" fontId="1" fillId="2" borderId="4" xfId="53" applyFont="1" applyFill="1" applyBorder="1" applyAlignment="1">
      <alignment horizontal="left" vertical="center"/>
    </xf>
    <xf numFmtId="0" fontId="5" fillId="2" borderId="0" xfId="53" applyFont="1" applyFill="1" applyAlignment="1">
      <alignment horizontal="left" vertical="center"/>
    </xf>
    <xf numFmtId="0" fontId="6" fillId="2" borderId="0" xfId="53" applyFont="1" applyFill="1" applyAlignment="1">
      <alignment horizontal="left" vertical="center"/>
    </xf>
    <xf numFmtId="0" fontId="5" fillId="2" borderId="0" xfId="53" applyFont="1" applyFill="1" applyAlignment="1">
      <alignment vertical="center"/>
    </xf>
    <xf numFmtId="0" fontId="1" fillId="2" borderId="0" xfId="53" applyFont="1" applyFill="1" applyBorder="1" applyAlignment="1">
      <alignment horizontal="left" vertical="center"/>
    </xf>
    <xf numFmtId="0" fontId="1" fillId="2" borderId="5" xfId="53" applyFont="1" applyFill="1" applyBorder="1" applyAlignment="1">
      <alignment horizontal="left" vertical="center"/>
    </xf>
    <xf numFmtId="0" fontId="2" fillId="2" borderId="4" xfId="53" applyFill="1" applyBorder="1" applyAlignment="1"/>
    <xf numFmtId="0" fontId="2" fillId="2" borderId="0" xfId="53" applyFill="1" applyBorder="1" applyAlignment="1"/>
    <xf numFmtId="0" fontId="2" fillId="2" borderId="5" xfId="53" applyFill="1" applyBorder="1" applyAlignment="1"/>
    <xf numFmtId="0" fontId="7" fillId="4" borderId="0" xfId="53" applyFont="1" applyFill="1" applyAlignment="1">
      <alignment horizontal="center" vertical="center"/>
    </xf>
    <xf numFmtId="0" fontId="8" fillId="2" borderId="6" xfId="53" applyFont="1" applyFill="1" applyBorder="1" applyAlignment="1">
      <alignment horizontal="center"/>
    </xf>
    <xf numFmtId="0" fontId="8" fillId="2" borderId="7" xfId="53" applyFont="1" applyFill="1" applyBorder="1" applyAlignment="1">
      <alignment horizontal="center"/>
    </xf>
    <xf numFmtId="0" fontId="8" fillId="2" borderId="8" xfId="53" applyFont="1" applyFill="1" applyBorder="1" applyAlignment="1">
      <alignment horizontal="center"/>
    </xf>
    <xf numFmtId="0" fontId="9" fillId="2" borderId="9" xfId="53" applyFont="1" applyFill="1" applyBorder="1" applyAlignment="1"/>
    <xf numFmtId="0" fontId="10" fillId="2" borderId="7" xfId="53" applyFont="1" applyFill="1" applyBorder="1" applyAlignment="1"/>
    <xf numFmtId="0" fontId="2" fillId="2" borderId="7" xfId="53" applyFill="1" applyBorder="1" applyAlignment="1"/>
    <xf numFmtId="0" fontId="2" fillId="2" borderId="10" xfId="53" applyFill="1" applyBorder="1" applyAlignment="1"/>
    <xf numFmtId="0" fontId="7" fillId="2" borderId="11" xfId="53" applyFont="1" applyFill="1" applyBorder="1" applyAlignment="1">
      <alignment horizontal="center" vertical="center"/>
    </xf>
    <xf numFmtId="0" fontId="7" fillId="2" borderId="0" xfId="53" applyFont="1" applyFill="1" applyBorder="1" applyAlignment="1">
      <alignment horizontal="center" vertical="center"/>
    </xf>
    <xf numFmtId="0" fontId="7" fillId="2" borderId="12" xfId="53" applyFont="1" applyFill="1" applyBorder="1" applyAlignment="1">
      <alignment horizontal="center" vertical="center"/>
    </xf>
    <xf numFmtId="0" fontId="11" fillId="2" borderId="13" xfId="53" applyFont="1" applyFill="1" applyBorder="1" applyAlignment="1"/>
    <xf numFmtId="0" fontId="7" fillId="2" borderId="0" xfId="53" applyFont="1" applyFill="1" applyBorder="1" applyAlignment="1"/>
    <xf numFmtId="0" fontId="7" fillId="2" borderId="14" xfId="53" applyFont="1" applyFill="1" applyBorder="1" applyAlignment="1"/>
    <xf numFmtId="0" fontId="2" fillId="2" borderId="15" xfId="53" applyFill="1" applyBorder="1" applyAlignment="1"/>
    <xf numFmtId="0" fontId="2" fillId="2" borderId="15" xfId="53" applyFill="1" applyBorder="1" applyAlignment="1">
      <alignment horizontal="center" vertical="center"/>
    </xf>
    <xf numFmtId="0" fontId="7" fillId="2" borderId="11" xfId="53" applyFont="1" applyFill="1" applyBorder="1" applyAlignment="1">
      <alignment vertical="center"/>
    </xf>
    <xf numFmtId="0" fontId="7" fillId="2" borderId="0" xfId="53" applyFont="1" applyFill="1" applyBorder="1" applyAlignment="1">
      <alignment vertical="center"/>
    </xf>
    <xf numFmtId="0" fontId="7" fillId="2" borderId="12" xfId="53" applyFont="1" applyFill="1" applyBorder="1" applyAlignment="1">
      <alignment vertical="center"/>
    </xf>
    <xf numFmtId="0" fontId="2" fillId="2" borderId="15" xfId="3" applyNumberFormat="1" applyFont="1" applyFill="1" applyBorder="1" applyAlignment="1">
      <alignment horizontal="center" vertical="center"/>
    </xf>
    <xf numFmtId="0" fontId="8" fillId="2" borderId="11" xfId="53" applyFont="1" applyFill="1" applyBorder="1" applyAlignment="1">
      <alignment horizontal="center"/>
    </xf>
    <xf numFmtId="0" fontId="8" fillId="2" borderId="0" xfId="53" applyFont="1" applyFill="1" applyBorder="1" applyAlignment="1">
      <alignment horizontal="center"/>
    </xf>
    <xf numFmtId="0" fontId="8" fillId="2" borderId="12" xfId="53" applyFont="1" applyFill="1" applyBorder="1" applyAlignment="1">
      <alignment horizontal="center"/>
    </xf>
    <xf numFmtId="0" fontId="2" fillId="2" borderId="15" xfId="3" applyNumberFormat="1" applyFont="1" applyFill="1" applyBorder="1" applyAlignment="1">
      <alignment horizontal="center"/>
    </xf>
    <xf numFmtId="0" fontId="2" fillId="2" borderId="11" xfId="53" applyFill="1" applyBorder="1" applyAlignment="1"/>
    <xf numFmtId="0" fontId="2" fillId="2" borderId="12" xfId="53" applyFill="1" applyBorder="1" applyAlignment="1"/>
    <xf numFmtId="0" fontId="12" fillId="2" borderId="13" xfId="53" applyFont="1" applyFill="1" applyBorder="1" applyAlignment="1"/>
    <xf numFmtId="0" fontId="2" fillId="2" borderId="16" xfId="53" applyFill="1" applyBorder="1" applyAlignment="1"/>
    <xf numFmtId="0" fontId="2" fillId="2" borderId="16" xfId="53" applyNumberFormat="1" applyFill="1" applyBorder="1" applyAlignment="1">
      <alignment horizontal="center" vertical="center"/>
    </xf>
    <xf numFmtId="9" fontId="2" fillId="2" borderId="16" xfId="53" applyNumberFormat="1" applyFill="1" applyBorder="1" applyAlignment="1">
      <alignment horizontal="center" vertical="center"/>
    </xf>
    <xf numFmtId="0" fontId="9" fillId="2" borderId="13" xfId="53" applyFont="1" applyFill="1" applyBorder="1" applyAlignment="1"/>
    <xf numFmtId="0" fontId="10" fillId="2" borderId="0" xfId="53" applyFont="1" applyFill="1" applyBorder="1" applyAlignment="1"/>
    <xf numFmtId="0" fontId="2" fillId="2" borderId="14" xfId="53" applyFill="1" applyBorder="1" applyAlignment="1"/>
    <xf numFmtId="0" fontId="12" fillId="2" borderId="0" xfId="53" applyFont="1" applyFill="1" applyBorder="1" applyAlignment="1"/>
    <xf numFmtId="0" fontId="12" fillId="2" borderId="14" xfId="53" applyFont="1" applyFill="1" applyBorder="1" applyAlignment="1"/>
    <xf numFmtId="0" fontId="12" fillId="2" borderId="17" xfId="53" applyFont="1" applyFill="1" applyBorder="1" applyAlignment="1"/>
    <xf numFmtId="0" fontId="12" fillId="2" borderId="18" xfId="53" applyFont="1" applyFill="1" applyBorder="1" applyAlignment="1"/>
    <xf numFmtId="0" fontId="12" fillId="2" borderId="19" xfId="53" applyFont="1" applyFill="1" applyBorder="1" applyAlignment="1"/>
    <xf numFmtId="0" fontId="9" fillId="2" borderId="20" xfId="53" applyFont="1" applyFill="1" applyBorder="1" applyAlignment="1"/>
    <xf numFmtId="0" fontId="10" fillId="2" borderId="16" xfId="53" applyFont="1" applyFill="1" applyBorder="1" applyAlignment="1"/>
    <xf numFmtId="0" fontId="2" fillId="2" borderId="21" xfId="53" applyFill="1" applyBorder="1" applyAlignment="1"/>
    <xf numFmtId="0" fontId="13" fillId="5" borderId="22" xfId="53" applyFont="1" applyFill="1" applyBorder="1" applyAlignment="1">
      <alignment horizontal="center" vertical="center"/>
    </xf>
    <xf numFmtId="0" fontId="13" fillId="5" borderId="23" xfId="53" applyFont="1" applyFill="1" applyBorder="1" applyAlignment="1">
      <alignment horizontal="center" vertical="center"/>
    </xf>
    <xf numFmtId="0" fontId="13" fillId="5" borderId="24" xfId="53" applyFont="1" applyFill="1" applyBorder="1" applyAlignment="1">
      <alignment horizontal="center" vertical="center"/>
    </xf>
    <xf numFmtId="0" fontId="14" fillId="2" borderId="5" xfId="53" applyFont="1" applyFill="1" applyBorder="1" applyAlignment="1">
      <alignment horizontal="center"/>
    </xf>
    <xf numFmtId="0" fontId="11" fillId="2" borderId="13" xfId="53" applyFont="1" applyFill="1" applyBorder="1" applyAlignment="1">
      <alignment horizontal="center" vertical="center"/>
    </xf>
    <xf numFmtId="0" fontId="12" fillId="2" borderId="0" xfId="53" applyFont="1" applyFill="1" applyBorder="1" applyAlignment="1">
      <alignment horizontal="left" vertical="center"/>
    </xf>
    <xf numFmtId="0" fontId="12" fillId="2" borderId="12" xfId="53" applyFont="1" applyFill="1" applyBorder="1" applyAlignment="1"/>
    <xf numFmtId="0" fontId="15" fillId="5" borderId="20" xfId="53" applyFont="1" applyFill="1" applyBorder="1" applyAlignment="1">
      <alignment horizontal="left" vertical="center"/>
    </xf>
    <xf numFmtId="0" fontId="12" fillId="5" borderId="12" xfId="53" applyFont="1" applyFill="1" applyBorder="1" applyAlignment="1">
      <alignment horizontal="center" vertical="center"/>
    </xf>
    <xf numFmtId="0" fontId="12" fillId="5" borderId="25" xfId="53" applyFont="1" applyFill="1" applyBorder="1" applyAlignment="1">
      <alignment horizontal="center" vertical="center"/>
    </xf>
    <xf numFmtId="0" fontId="12" fillId="5" borderId="13" xfId="53" applyFont="1" applyFill="1" applyBorder="1" applyAlignment="1">
      <alignment horizontal="center" vertical="center"/>
    </xf>
    <xf numFmtId="0" fontId="2" fillId="2" borderId="26" xfId="53" applyFill="1" applyBorder="1" applyAlignment="1"/>
    <xf numFmtId="0" fontId="2" fillId="2" borderId="27" xfId="53" applyFill="1" applyBorder="1" applyAlignment="1"/>
    <xf numFmtId="0" fontId="2" fillId="2" borderId="28" xfId="53" applyFill="1" applyBorder="1" applyAlignment="1"/>
    <xf numFmtId="0" fontId="12" fillId="2" borderId="29" xfId="53" applyFont="1" applyFill="1" applyBorder="1" applyAlignment="1"/>
    <xf numFmtId="0" fontId="12" fillId="2" borderId="27" xfId="53" applyFont="1" applyFill="1" applyBorder="1" applyAlignment="1"/>
    <xf numFmtId="0" fontId="12" fillId="2" borderId="28" xfId="53" applyFont="1" applyFill="1" applyBorder="1" applyAlignment="1"/>
    <xf numFmtId="0" fontId="12" fillId="5" borderId="29" xfId="53" applyFont="1" applyFill="1" applyBorder="1" applyAlignment="1">
      <alignment horizontal="center" vertical="center"/>
    </xf>
    <xf numFmtId="0" fontId="12" fillId="5" borderId="28" xfId="53" applyFont="1" applyFill="1" applyBorder="1" applyAlignment="1">
      <alignment horizontal="center" vertical="center"/>
    </xf>
    <xf numFmtId="0" fontId="12" fillId="5" borderId="30" xfId="53" applyFont="1" applyFill="1" applyBorder="1" applyAlignment="1">
      <alignment horizontal="center" vertical="center"/>
    </xf>
    <xf numFmtId="0" fontId="2" fillId="2" borderId="15" xfId="3" applyNumberFormat="1" applyFont="1" applyFill="1" applyBorder="1" applyAlignment="1" applyProtection="1">
      <alignment horizontal="center" vertical="center"/>
    </xf>
    <xf numFmtId="0" fontId="2" fillId="2" borderId="15" xfId="3" applyNumberFormat="1" applyFont="1" applyFill="1" applyBorder="1" applyAlignment="1"/>
    <xf numFmtId="0" fontId="2" fillId="2" borderId="15" xfId="53" applyNumberFormat="1" applyFill="1" applyBorder="1" applyAlignment="1"/>
    <xf numFmtId="0" fontId="2" fillId="2" borderId="15" xfId="53" applyNumberFormat="1" applyFill="1" applyBorder="1" applyAlignment="1">
      <alignment horizontal="center" vertical="center"/>
    </xf>
    <xf numFmtId="0" fontId="2" fillId="2" borderId="0" xfId="53" applyNumberFormat="1" applyFill="1" applyAlignment="1"/>
    <xf numFmtId="0" fontId="2" fillId="2" borderId="16" xfId="53" applyNumberFormat="1" applyFill="1" applyBorder="1" applyAlignment="1"/>
    <xf numFmtId="0" fontId="2" fillId="2" borderId="31" xfId="53" applyFill="1" applyBorder="1" applyAlignment="1"/>
    <xf numFmtId="0" fontId="2" fillId="2" borderId="32" xfId="53" applyFill="1" applyBorder="1" applyAlignment="1"/>
    <xf numFmtId="0" fontId="2" fillId="2" borderId="33" xfId="53" applyFill="1" applyBorder="1" applyAlignment="1"/>
    <xf numFmtId="0" fontId="16" fillId="0" borderId="0" xfId="49" applyFont="1"/>
    <xf numFmtId="0" fontId="17" fillId="0" borderId="0" xfId="49" applyFont="1" applyAlignment="1">
      <alignment vertical="center"/>
    </xf>
    <xf numFmtId="0" fontId="0" fillId="0" borderId="0" xfId="0" applyFill="1" applyAlignment="1">
      <alignment vertical="center"/>
    </xf>
    <xf numFmtId="0" fontId="18" fillId="0" borderId="0" xfId="0" applyFont="1" applyFill="1" applyAlignment="1">
      <alignment vertical="center"/>
    </xf>
    <xf numFmtId="0" fontId="16" fillId="0" borderId="0" xfId="49" applyFont="1" applyBorder="1"/>
    <xf numFmtId="0" fontId="19" fillId="0" borderId="6" xfId="49" applyFont="1" applyBorder="1" applyAlignment="1">
      <alignment horizontal="center" vertical="center"/>
    </xf>
    <xf numFmtId="0" fontId="19" fillId="0" borderId="10" xfId="49" applyFont="1" applyBorder="1" applyAlignment="1">
      <alignment horizontal="center" vertical="center"/>
    </xf>
    <xf numFmtId="0" fontId="16" fillId="0" borderId="6" xfId="49" applyFont="1" applyBorder="1"/>
    <xf numFmtId="0" fontId="16" fillId="0" borderId="7" xfId="49" applyFont="1" applyBorder="1"/>
    <xf numFmtId="0" fontId="16" fillId="0" borderId="10" xfId="49" applyFont="1" applyBorder="1"/>
    <xf numFmtId="0" fontId="16" fillId="0" borderId="11" xfId="49" applyFont="1" applyBorder="1"/>
    <xf numFmtId="0" fontId="16" fillId="0" borderId="14" xfId="49" applyFont="1" applyBorder="1"/>
    <xf numFmtId="0" fontId="20" fillId="6" borderId="34" xfId="49" applyFont="1" applyFill="1" applyBorder="1" applyAlignment="1">
      <alignment horizontal="center" vertical="center" wrapText="1"/>
    </xf>
    <xf numFmtId="0" fontId="20" fillId="6" borderId="35" xfId="49" applyFont="1" applyFill="1" applyBorder="1" applyAlignment="1">
      <alignment horizontal="center" vertical="center" wrapText="1"/>
    </xf>
    <xf numFmtId="0" fontId="20" fillId="6" borderId="36" xfId="49" applyFont="1" applyFill="1" applyBorder="1" applyAlignment="1">
      <alignment horizontal="center" vertical="center" wrapText="1"/>
    </xf>
    <xf numFmtId="0" fontId="16" fillId="0" borderId="14" xfId="49" applyFont="1" applyBorder="1" applyAlignment="1"/>
    <xf numFmtId="0" fontId="16" fillId="0" borderId="0" xfId="49" applyFont="1" applyBorder="1" applyAlignment="1">
      <alignment horizontal="left"/>
    </xf>
    <xf numFmtId="0" fontId="16" fillId="0" borderId="0" xfId="49" applyFont="1" applyFill="1" applyAlignment="1">
      <alignment vertical="center" wrapText="1"/>
    </xf>
    <xf numFmtId="0" fontId="16" fillId="0" borderId="0" xfId="49" applyFont="1" applyBorder="1" applyAlignment="1">
      <alignment horizontal="center"/>
    </xf>
    <xf numFmtId="0" fontId="17" fillId="0" borderId="11" xfId="49" applyFont="1" applyBorder="1" applyAlignment="1">
      <alignment vertical="center"/>
    </xf>
    <xf numFmtId="0" fontId="17" fillId="0" borderId="0" xfId="5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17" fillId="0" borderId="0" xfId="50" applyNumberFormat="1" applyFont="1" applyFill="1" applyAlignment="1">
      <alignment horizontal="left" vertical="center"/>
    </xf>
    <xf numFmtId="0" fontId="17" fillId="0" borderId="14" xfId="49" applyFont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22" fillId="7" borderId="15" xfId="49" applyFont="1" applyFill="1" applyBorder="1" applyAlignment="1">
      <alignment horizontal="center" vertical="center"/>
    </xf>
    <xf numFmtId="0" fontId="22" fillId="7" borderId="15" xfId="51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vertical="center"/>
    </xf>
    <xf numFmtId="0" fontId="17" fillId="0" borderId="15" xfId="0" applyFont="1" applyFill="1" applyBorder="1" applyAlignment="1">
      <alignment vertical="center" wrapText="1"/>
    </xf>
    <xf numFmtId="0" fontId="17" fillId="0" borderId="15" xfId="0" applyFont="1" applyFill="1" applyBorder="1" applyAlignment="1">
      <alignment horizontal="center" vertical="center" wrapText="1"/>
    </xf>
    <xf numFmtId="178" fontId="23" fillId="0" borderId="15" xfId="57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vertical="center"/>
    </xf>
    <xf numFmtId="9" fontId="17" fillId="0" borderId="15" xfId="0" applyNumberFormat="1" applyFont="1" applyFill="1" applyBorder="1" applyAlignment="1">
      <alignment vertical="center" wrapText="1"/>
    </xf>
    <xf numFmtId="0" fontId="24" fillId="8" borderId="15" xfId="51" applyFont="1" applyFill="1" applyBorder="1" applyAlignment="1">
      <alignment horizontal="center" vertical="center"/>
    </xf>
    <xf numFmtId="0" fontId="24" fillId="8" borderId="37" xfId="51" applyFont="1" applyFill="1" applyBorder="1" applyAlignment="1">
      <alignment vertical="center"/>
    </xf>
    <xf numFmtId="9" fontId="25" fillId="8" borderId="37" xfId="3" applyFont="1" applyFill="1" applyBorder="1" applyAlignment="1">
      <alignment horizontal="center" vertical="center"/>
    </xf>
    <xf numFmtId="9" fontId="25" fillId="8" borderId="23" xfId="3" applyFont="1" applyFill="1" applyBorder="1" applyAlignment="1">
      <alignment horizontal="center" vertical="center"/>
    </xf>
    <xf numFmtId="9" fontId="25" fillId="8" borderId="15" xfId="3" applyFont="1" applyFill="1" applyBorder="1" applyAlignment="1">
      <alignment horizontal="center" vertical="center"/>
    </xf>
    <xf numFmtId="0" fontId="26" fillId="0" borderId="0" xfId="5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2" fillId="0" borderId="0" xfId="50" applyNumberFormat="1" applyFont="1" applyFill="1" applyBorder="1" applyAlignment="1">
      <alignment vertical="center"/>
    </xf>
    <xf numFmtId="0" fontId="27" fillId="0" borderId="0" xfId="50" applyNumberFormat="1" applyFont="1" applyFill="1" applyAlignment="1">
      <alignment vertical="center"/>
    </xf>
    <xf numFmtId="0" fontId="28" fillId="0" borderId="0" xfId="0" applyNumberFormat="1" applyFont="1" applyFill="1" applyBorder="1" applyAlignment="1">
      <alignment horizontal="center" vertical="center"/>
    </xf>
    <xf numFmtId="0" fontId="28" fillId="0" borderId="0" xfId="0" applyNumberFormat="1" applyFont="1" applyFill="1" applyBorder="1" applyAlignment="1">
      <alignment vertical="center" wrapText="1"/>
    </xf>
    <xf numFmtId="0" fontId="12" fillId="0" borderId="0" xfId="50" applyNumberFormat="1" applyFont="1" applyFill="1" applyBorder="1" applyAlignment="1"/>
    <xf numFmtId="0" fontId="28" fillId="0" borderId="0" xfId="0" applyNumberFormat="1" applyFont="1" applyFill="1" applyBorder="1" applyAlignment="1"/>
    <xf numFmtId="0" fontId="2" fillId="0" borderId="0" xfId="50" applyFont="1" applyBorder="1" applyAlignment="1"/>
    <xf numFmtId="0" fontId="0" fillId="0" borderId="26" xfId="0" applyFill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29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29" fillId="0" borderId="39" xfId="0" applyFont="1" applyFill="1" applyBorder="1" applyAlignment="1">
      <alignment horizontal="center" vertical="center"/>
    </xf>
    <xf numFmtId="0" fontId="29" fillId="0" borderId="40" xfId="0" applyFont="1" applyFill="1" applyBorder="1" applyAlignment="1">
      <alignment horizontal="center" vertical="center"/>
    </xf>
    <xf numFmtId="0" fontId="29" fillId="0" borderId="41" xfId="0" applyFont="1" applyFill="1" applyBorder="1" applyAlignment="1">
      <alignment horizontal="center" vertical="center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1" xfId="49"/>
    <cellStyle name="Normal_Agreement BEI" xfId="50"/>
    <cellStyle name="Normal 39 4" xfId="51"/>
    <cellStyle name="Normal 40" xfId="52"/>
    <cellStyle name="Normal_COE 2011 &amp; mechanism Review 2011" xfId="53"/>
    <cellStyle name="Percent 12" xfId="54"/>
    <cellStyle name="Normal 39" xfId="55"/>
    <cellStyle name="Normal 4" xfId="56"/>
    <cellStyle name="Percent 11 2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9.xml"/><Relationship Id="rId32" Type="http://schemas.openxmlformats.org/officeDocument/2006/relationships/externalLink" Target="externalLinks/externalLink28.xml"/><Relationship Id="rId31" Type="http://schemas.openxmlformats.org/officeDocument/2006/relationships/externalLink" Target="externalLinks/externalLink27.xml"/><Relationship Id="rId30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5.xml"/><Relationship Id="rId28" Type="http://schemas.openxmlformats.org/officeDocument/2006/relationships/externalLink" Target="externalLinks/externalLink24.xml"/><Relationship Id="rId27" Type="http://schemas.openxmlformats.org/officeDocument/2006/relationships/externalLink" Target="externalLinks/externalLink23.xml"/><Relationship Id="rId26" Type="http://schemas.openxmlformats.org/officeDocument/2006/relationships/externalLink" Target="externalLinks/externalLink22.xml"/><Relationship Id="rId25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20.xml"/><Relationship Id="rId23" Type="http://schemas.openxmlformats.org/officeDocument/2006/relationships/externalLink" Target="externalLinks/externalLink19.xml"/><Relationship Id="rId22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7.xml"/><Relationship Id="rId20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5.xml"/><Relationship Id="rId18" Type="http://schemas.openxmlformats.org/officeDocument/2006/relationships/externalLink" Target="externalLinks/externalLink14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89704731541372"/>
          <c:y val="0.0828642443418699"/>
          <c:w val="0.960718961877379"/>
          <c:h val="0.84370866966267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'Trendchart KPI Asst Man'!$X$11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>
                <a:alpha val="100000"/>
                <a:alpha val="100000"/>
              </a:srgbClr>
            </a:solidFill>
            <a:effectLst/>
          </c:spPr>
          <c:invertIfNegative val="0"/>
          <c:dPt>
            <c:idx val="7"/>
            <c:invertIfNegative val="0"/>
            <c:bubble3D val="0"/>
            <c:explosion val="0"/>
            <c:spPr>
              <a:solidFill>
                <a:srgbClr val="7F7F7F">
                  <a:alpha val="100000"/>
                  <a:alpha val="100000"/>
                </a:srgbClr>
              </a:solidFill>
              <a:effectLst/>
            </c:spPr>
          </c:dPt>
          <c:dPt>
            <c:idx val="8"/>
            <c:invertIfNegative val="0"/>
            <c:bubble3D val="0"/>
            <c:explosion val="0"/>
            <c:spPr>
              <a:solidFill>
                <a:srgbClr val="7F7F7F">
                  <a:alpha val="100000"/>
                  <a:alpha val="100000"/>
                </a:srgbClr>
              </a:solidFill>
              <a:effectLst/>
            </c:spPr>
          </c:dPt>
          <c:dPt>
            <c:idx val="9"/>
            <c:invertIfNegative val="0"/>
            <c:bubble3D val="0"/>
            <c:explosion val="0"/>
            <c:spPr>
              <a:solidFill>
                <a:srgbClr val="7F7F7F">
                  <a:alpha val="100000"/>
                  <a:alpha val="100000"/>
                </a:srgbClr>
              </a:solidFill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'Trendchart KPI Asst Man'!$Y$9:$AJ$9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Man'!$Y$11:$AJ$11</c:f>
              <c:numCache>
                <c:formatCode>General</c:formatCode>
                <c:ptCount val="12"/>
                <c:pt idx="0">
                  <c:v>27450</c:v>
                </c:pt>
                <c:pt idx="1">
                  <c:v>37841</c:v>
                </c:pt>
                <c:pt idx="2">
                  <c:v>25324</c:v>
                </c:pt>
                <c:pt idx="3">
                  <c:v>28424</c:v>
                </c:pt>
                <c:pt idx="4">
                  <c:v>23144</c:v>
                </c:pt>
                <c:pt idx="5">
                  <c:v>17534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393230109"/>
        <c:axId val="563134999"/>
      </c:barChart>
      <c:lineChart>
        <c:grouping val="standard"/>
        <c:varyColors val="0"/>
        <c:ser>
          <c:idx val="0"/>
          <c:order val="0"/>
          <c:tx>
            <c:strRef>
              <c:f>'Trendchart KPI Asst Man'!$X$10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 cmpd="sng" algn="ctr">
              <a:solidFill>
                <a:srgbClr val="666699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'Trendchart KPI Asst Man'!$Y$9:$AJ$9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Man'!$Y$10:$AJ$10</c:f>
              <c:numCache>
                <c:formatCode>General</c:formatCode>
                <c:ptCount val="12"/>
                <c:pt idx="0">
                  <c:v>28000</c:v>
                </c:pt>
                <c:pt idx="1">
                  <c:v>28000</c:v>
                </c:pt>
                <c:pt idx="2">
                  <c:v>28000</c:v>
                </c:pt>
                <c:pt idx="3">
                  <c:v>28000</c:v>
                </c:pt>
                <c:pt idx="4">
                  <c:v>23000</c:v>
                </c:pt>
                <c:pt idx="5">
                  <c:v>23000</c:v>
                </c:pt>
                <c:pt idx="6">
                  <c:v>23000</c:v>
                </c:pt>
                <c:pt idx="7">
                  <c:v>23000</c:v>
                </c:pt>
                <c:pt idx="8">
                  <c:v>18000</c:v>
                </c:pt>
                <c:pt idx="9">
                  <c:v>18000</c:v>
                </c:pt>
                <c:pt idx="10">
                  <c:v>18000</c:v>
                </c:pt>
                <c:pt idx="11">
                  <c:v>18000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3230109"/>
        <c:axId val="563134999"/>
      </c:lineChart>
      <c:catAx>
        <c:axId val="3932301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563134999"/>
        <c:crosses val="autoZero"/>
        <c:auto val="0"/>
        <c:lblAlgn val="ctr"/>
        <c:lblOffset val="100"/>
        <c:noMultiLvlLbl val="0"/>
      </c:catAx>
      <c:valAx>
        <c:axId val="5631349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393230109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76699457283287"/>
          <c:y val="0.01694954797317"/>
          <c:w val="0.28125"/>
          <c:h val="0.036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7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f4b318-f2f7-43e2-a99f-1ae74ad3b7da}"/>
      </c:ext>
    </c:extLst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  <a:effectLst/>
  </c:spPr>
  <c:txPr>
    <a:bodyPr rot="0" wrap="square" anchor="ctr" anchorCtr="1"/>
    <a:lstStyle/>
    <a:p>
      <a:pPr>
        <a:defRPr lang="en-US" sz="12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74733772570558"/>
          <c:y val="0.0858796698410016"/>
          <c:w val="0.961035749138071"/>
          <c:h val="0.83971232733423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'Trendchart KPI Asst Man'!$X$32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>
                <a:alpha val="100000"/>
                <a:alpha val="100000"/>
              </a:srgbClr>
            </a:solidFill>
            <a:ln w="3175"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'Trendchart KPI Asst Man'!$Y$30:$AJ$30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Agust</c:v>
                </c:pt>
                <c:pt idx="8">
                  <c:v>Sep</c:v>
                </c:pt>
                <c:pt idx="9">
                  <c:v>Okt</c:v>
                </c:pt>
                <c:pt idx="10">
                  <c:v>Nop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Man'!$Y$32:$AJ$32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30403593"/>
        <c:axId val="777903930"/>
      </c:barChart>
      <c:lineChart>
        <c:grouping val="standard"/>
        <c:varyColors val="0"/>
        <c:ser>
          <c:idx val="0"/>
          <c:order val="0"/>
          <c:tx>
            <c:strRef>
              <c:f>'Trendchart KPI Asst Man'!$X$31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 cmpd="sng" algn="ctr">
              <a:solidFill>
                <a:srgbClr val="666699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'Trendchart KPI Asst Man'!$Y$30:$AJ$30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Agust</c:v>
                </c:pt>
                <c:pt idx="8">
                  <c:v>Sep</c:v>
                </c:pt>
                <c:pt idx="9">
                  <c:v>Okt</c:v>
                </c:pt>
                <c:pt idx="10">
                  <c:v>Nop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Man'!$Y$31:$AJ$31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30403593"/>
        <c:axId val="777903930"/>
      </c:lineChart>
      <c:catAx>
        <c:axId val="1304035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777903930"/>
        <c:crosses val="autoZero"/>
        <c:auto val="1"/>
        <c:lblAlgn val="ctr"/>
        <c:lblOffset val="100"/>
        <c:noMultiLvlLbl val="0"/>
      </c:catAx>
      <c:valAx>
        <c:axId val="77790393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130403593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96511303022606"/>
          <c:y val="0.0152675762857887"/>
          <c:w val="0.23275"/>
          <c:h val="0.037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9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cddb03-fee6-42c1-911a-08f1da662115}"/>
      </c:ext>
    </c:extLst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  <a:effectLst/>
  </c:spPr>
  <c:txPr>
    <a:bodyPr rot="0" wrap="square" anchor="ctr" anchorCtr="1"/>
    <a:lstStyle/>
    <a:p>
      <a:pPr>
        <a:defRPr lang="en-US" sz="12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28877050746015"/>
          <c:y val="0.0874814296861541"/>
          <c:w val="0.960983306568559"/>
          <c:h val="0.84152694251497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'Trendchart KPI Asst Man'!$X$53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>
                <a:alpha val="100000"/>
                <a:alpha val="100000"/>
              </a:srgbClr>
            </a:solidFill>
            <a:ln w="3175"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.00898472596585804"/>
                  <c:y val="-0.033462033462033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6.58872292813973e-17"/>
                  <c:y val="0.01801801801801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107816711590297"/>
                  <c:y val="-0.01801801801801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0" i="0" u="none" strike="noStrike" kern="1200" baseline="0">
                      <a:solidFill>
                        <a:srgbClr val="000000">
                          <a:alpha val="100000"/>
                        </a:srgbClr>
                      </a:solidFill>
                      <a:latin typeface="Calibri" panose="020F0502020204030204" charset="0"/>
                      <a:ea typeface="Calibri" panose="020F0502020204030204" charset="0"/>
                      <a:cs typeface="Calibri" panose="020F0502020204030204" charset="0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'Trendchart KPI Asst Man'!$Y$51:$AJ$51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Agust</c:v>
                </c:pt>
                <c:pt idx="8">
                  <c:v>Sep</c:v>
                </c:pt>
                <c:pt idx="9">
                  <c:v>Okt</c:v>
                </c:pt>
                <c:pt idx="10">
                  <c:v>Nop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Man'!$Y$53:$AJ$53</c:f>
              <c:numCache>
                <c:formatCode>General</c:formatCode>
                <c:ptCount val="12"/>
                <c:pt idx="0">
                  <c:v>90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576221216"/>
        <c:axId val="939159421"/>
      </c:barChart>
      <c:lineChart>
        <c:grouping val="standard"/>
        <c:varyColors val="0"/>
        <c:ser>
          <c:idx val="0"/>
          <c:order val="0"/>
          <c:tx>
            <c:strRef>
              <c:f>'Trendchart KPI Asst Man'!$X$52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 cmpd="sng" algn="ctr">
              <a:solidFill>
                <a:srgbClr val="666699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666699">
                  <a:alpha val="100000"/>
                </a:srgbClr>
              </a:solidFill>
              <a:ln w="9525" cap="flat" cmpd="sng" algn="ctr">
                <a:solidFill>
                  <a:srgbClr val="666699">
                    <a:alpha val="100000"/>
                  </a:srgbClr>
                </a:solidFill>
                <a:prstDash val="solid"/>
                <a:round/>
              </a:ln>
              <a:effectLst/>
            </c:spPr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'Trendchart KPI Asst Man'!$Y$51:$AJ$51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Agust</c:v>
                </c:pt>
                <c:pt idx="8">
                  <c:v>Sep</c:v>
                </c:pt>
                <c:pt idx="9">
                  <c:v>Okt</c:v>
                </c:pt>
                <c:pt idx="10">
                  <c:v>Nop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Man'!$Y$52:$AJ$52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221216"/>
        <c:axId val="939159421"/>
      </c:lineChart>
      <c:catAx>
        <c:axId val="576221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939159421"/>
        <c:crosses val="autoZero"/>
        <c:auto val="1"/>
        <c:lblAlgn val="ctr"/>
        <c:lblOffset val="100"/>
        <c:noMultiLvlLbl val="0"/>
      </c:catAx>
      <c:valAx>
        <c:axId val="93915942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576221216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95699070590604"/>
          <c:y val="0.0150947357995345"/>
          <c:w val="0.2275"/>
          <c:h val="0.036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9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e67faf-c154-44f1-8109-3105b50456d5}"/>
      </c:ext>
    </c:extLst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  <a:effectLst/>
  </c:spPr>
  <c:txPr>
    <a:bodyPr rot="0" wrap="square" anchor="ctr" anchorCtr="1"/>
    <a:lstStyle/>
    <a:p>
      <a:pPr>
        <a:defRPr lang="en-US" sz="12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51240639927583"/>
          <c:y val="0.0785157454532329"/>
          <c:w val="0.961295861451252"/>
          <c:h val="0.83878934615241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'Trendchart KPI Asst Man'!$X$74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>
                <a:alpha val="100000"/>
                <a:alpha val="100000"/>
              </a:srgbClr>
            </a:solidFill>
            <a:ln w="3175"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'Trendchart KPI Asst Man'!$Y$72:$AJ$72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Man'!$Y$74:$AJ$74</c:f>
              <c:numCache>
                <c:formatCode>General</c:formatCode>
                <c:ptCount val="12"/>
                <c:pt idx="0">
                  <c:v>27450</c:v>
                </c:pt>
                <c:pt idx="1">
                  <c:v>37841</c:v>
                </c:pt>
                <c:pt idx="2">
                  <c:v>25324</c:v>
                </c:pt>
                <c:pt idx="3">
                  <c:v>28424</c:v>
                </c:pt>
                <c:pt idx="4">
                  <c:v>23144</c:v>
                </c:pt>
                <c:pt idx="5">
                  <c:v>17534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316087941"/>
        <c:axId val="367963277"/>
      </c:barChart>
      <c:lineChart>
        <c:grouping val="standard"/>
        <c:varyColors val="0"/>
        <c:ser>
          <c:idx val="0"/>
          <c:order val="0"/>
          <c:tx>
            <c:strRef>
              <c:f>'Trendchart KPI Asst Man'!$X$73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 cmpd="sng" algn="ctr">
              <a:solidFill>
                <a:srgbClr val="666699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666699">
                  <a:alpha val="100000"/>
                </a:srgbClr>
              </a:solidFill>
              <a:ln w="9525" cap="flat" cmpd="sng" algn="ctr">
                <a:solidFill>
                  <a:srgbClr val="666699">
                    <a:alpha val="100000"/>
                  </a:srgbClr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'Trendchart KPI Asst Man'!$Y$72:$AJ$72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'Trendchart KPI Asst Man'!$Y$73:$AJ$73</c:f>
              <c:numCache>
                <c:formatCode>General</c:formatCode>
                <c:ptCount val="12"/>
                <c:pt idx="0">
                  <c:v>28000</c:v>
                </c:pt>
                <c:pt idx="1">
                  <c:v>28000</c:v>
                </c:pt>
                <c:pt idx="2">
                  <c:v>28000</c:v>
                </c:pt>
                <c:pt idx="3">
                  <c:v>28000</c:v>
                </c:pt>
                <c:pt idx="4">
                  <c:v>23000</c:v>
                </c:pt>
                <c:pt idx="5">
                  <c:v>23000</c:v>
                </c:pt>
                <c:pt idx="6">
                  <c:v>23000</c:v>
                </c:pt>
                <c:pt idx="7">
                  <c:v>23000</c:v>
                </c:pt>
                <c:pt idx="8">
                  <c:v>18000</c:v>
                </c:pt>
                <c:pt idx="9">
                  <c:v>18000</c:v>
                </c:pt>
                <c:pt idx="10">
                  <c:v>18000</c:v>
                </c:pt>
                <c:pt idx="11">
                  <c:v>18000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087941"/>
        <c:axId val="367963277"/>
      </c:lineChart>
      <c:catAx>
        <c:axId val="3160879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3175" cap="flat" cmpd="sng" algn="ctr">
            <a:solidFill>
              <a:srgbClr val="808080">
                <a:alpha val="100000"/>
              </a:srgb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367963277"/>
        <c:crosses val="autoZero"/>
        <c:auto val="1"/>
        <c:lblAlgn val="ctr"/>
        <c:lblOffset val="100"/>
        <c:noMultiLvlLbl val="0"/>
      </c:catAx>
      <c:valAx>
        <c:axId val="36796327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</a:p>
        </c:txPr>
        <c:crossAx val="316087941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 w="25400">
          <a:solidFill>
            <a:schemeClr val="tx2">
              <a:lumMod val="20000"/>
              <a:lumOff val="8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96534592054498"/>
          <c:y val="0.0153554893930005"/>
          <c:w val="0.2255"/>
          <c:h val="0.037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9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344326-e09c-411e-8cc8-af7f81e9633c}"/>
      </c:ext>
    </c:extLst>
  </c:chart>
  <c:spPr>
    <a:solidFill>
      <a:srgbClr val="FFFFFF">
        <a:alpha val="100000"/>
      </a:srgbClr>
    </a:solidFill>
    <a:ln w="3175" cap="flat" cmpd="sng" algn="ctr">
      <a:solidFill>
        <a:srgbClr val="808080">
          <a:alpha val="100000"/>
        </a:srgbClr>
      </a:solidFill>
      <a:prstDash val="solid"/>
      <a:round/>
    </a:ln>
    <a:effectLst/>
  </c:spPr>
  <c:txPr>
    <a:bodyPr rot="0" wrap="square" anchor="ctr" anchorCtr="1"/>
    <a:lstStyle/>
    <a:p>
      <a:pPr>
        <a:defRPr lang="en-US" sz="1200" b="0" i="0" u="none" strike="noStrike" baseline="0">
          <a:solidFill>
            <a:srgbClr val="000000">
              <a:alpha val="100000"/>
            </a:srgbClr>
          </a:solidFill>
          <a:latin typeface="Calibri" panose="020F0502020204030204" charset="0"/>
          <a:ea typeface="Calibri" panose="020F0502020204030204" charset="0"/>
          <a:cs typeface="Calibri" panose="020F0502020204030204" charset="0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emf"/><Relationship Id="rId3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43180</xdr:colOff>
      <xdr:row>1</xdr:row>
      <xdr:rowOff>58420</xdr:rowOff>
    </xdr:from>
    <xdr:to>
      <xdr:col>4</xdr:col>
      <xdr:colOff>577215</xdr:colOff>
      <xdr:row>3</xdr:row>
      <xdr:rowOff>296545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645" y="401320"/>
          <a:ext cx="9306560" cy="805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125095</xdr:colOff>
      <xdr:row>1</xdr:row>
      <xdr:rowOff>55245</xdr:rowOff>
    </xdr:from>
    <xdr:to>
      <xdr:col>1</xdr:col>
      <xdr:colOff>548005</xdr:colOff>
      <xdr:row>2</xdr:row>
      <xdr:rowOff>237490</xdr:rowOff>
    </xdr:to>
    <xdr:sp>
      <xdr:nvSpPr>
        <xdr:cNvPr id="3" name="object 3"/>
        <xdr:cNvSpPr/>
      </xdr:nvSpPr>
      <xdr:spPr>
        <a:xfrm>
          <a:off x="314960" y="398145"/>
          <a:ext cx="422910" cy="466090"/>
        </a:xfrm>
        <a:prstGeom prst="rect">
          <a:avLst/>
        </a:prstGeom>
        <a:blipFill>
          <a:blip r:embed="rId2" cstate="print"/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527685</xdr:colOff>
      <xdr:row>4</xdr:row>
      <xdr:rowOff>33655</xdr:rowOff>
    </xdr:from>
    <xdr:to>
      <xdr:col>2</xdr:col>
      <xdr:colOff>97790</xdr:colOff>
      <xdr:row>5</xdr:row>
      <xdr:rowOff>124460</xdr:rowOff>
    </xdr:to>
    <xdr:sp>
      <xdr:nvSpPr>
        <xdr:cNvPr id="8" name="Isosceles Triangle 7"/>
        <xdr:cNvSpPr/>
      </xdr:nvSpPr>
      <xdr:spPr>
        <a:xfrm>
          <a:off x="717550" y="2011045"/>
          <a:ext cx="179705" cy="179705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500">
              <a:solidFill>
                <a:sysClr val="windowText" lastClr="000000"/>
              </a:solidFill>
            </a:rPr>
            <a:t>0</a:t>
          </a:r>
          <a:r>
            <a:rPr lang="en-US" altLang="en-GB" sz="500">
              <a:solidFill>
                <a:sysClr val="windowText" lastClr="000000"/>
              </a:solidFill>
            </a:rPr>
            <a:t>2</a:t>
          </a:r>
          <a:endParaRPr lang="en-US" altLang="en-GB" sz="5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514350</xdr:colOff>
      <xdr:row>39</xdr:row>
      <xdr:rowOff>25400</xdr:rowOff>
    </xdr:from>
    <xdr:to>
      <xdr:col>3</xdr:col>
      <xdr:colOff>2172335</xdr:colOff>
      <xdr:row>46</xdr:row>
      <xdr:rowOff>361315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4215" y="15909290"/>
          <a:ext cx="5174615" cy="3180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424180</xdr:colOff>
      <xdr:row>39</xdr:row>
      <xdr:rowOff>0</xdr:rowOff>
    </xdr:from>
    <xdr:to>
      <xdr:col>9</xdr:col>
      <xdr:colOff>1711960</xdr:colOff>
      <xdr:row>47</xdr:row>
      <xdr:rowOff>69215</xdr:rowOff>
    </xdr:to>
    <xdr:pic>
      <xdr:nvPicPr>
        <xdr:cNvPr id="9" name="Picture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081385" y="15883890"/>
          <a:ext cx="6862445" cy="3320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43180</xdr:colOff>
      <xdr:row>1</xdr:row>
      <xdr:rowOff>58420</xdr:rowOff>
    </xdr:from>
    <xdr:to>
      <xdr:col>4</xdr:col>
      <xdr:colOff>577215</xdr:colOff>
      <xdr:row>3</xdr:row>
      <xdr:rowOff>296545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645" y="401320"/>
          <a:ext cx="9306560" cy="805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125095</xdr:colOff>
      <xdr:row>1</xdr:row>
      <xdr:rowOff>55245</xdr:rowOff>
    </xdr:from>
    <xdr:to>
      <xdr:col>1</xdr:col>
      <xdr:colOff>548005</xdr:colOff>
      <xdr:row>2</xdr:row>
      <xdr:rowOff>237490</xdr:rowOff>
    </xdr:to>
    <xdr:sp>
      <xdr:nvSpPr>
        <xdr:cNvPr id="3" name="object 3"/>
        <xdr:cNvSpPr/>
      </xdr:nvSpPr>
      <xdr:spPr>
        <a:xfrm>
          <a:off x="314960" y="398145"/>
          <a:ext cx="422910" cy="466090"/>
        </a:xfrm>
        <a:prstGeom prst="rect">
          <a:avLst/>
        </a:prstGeom>
        <a:blipFill>
          <a:blip r:embed="rId2" cstate="print"/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1</xdr:col>
      <xdr:colOff>294640</xdr:colOff>
      <xdr:row>38</xdr:row>
      <xdr:rowOff>404495</xdr:rowOff>
    </xdr:from>
    <xdr:to>
      <xdr:col>3</xdr:col>
      <xdr:colOff>1485900</xdr:colOff>
      <xdr:row>46</xdr:row>
      <xdr:rowOff>287655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4505" y="16161385"/>
          <a:ext cx="4707890" cy="313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28575</xdr:colOff>
      <xdr:row>38</xdr:row>
      <xdr:rowOff>370840</xdr:rowOff>
    </xdr:from>
    <xdr:to>
      <xdr:col>9</xdr:col>
      <xdr:colOff>1746250</xdr:colOff>
      <xdr:row>46</xdr:row>
      <xdr:rowOff>326390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85780" y="16127730"/>
          <a:ext cx="6668770" cy="320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600710</xdr:colOff>
      <xdr:row>4</xdr:row>
      <xdr:rowOff>52705</xdr:rowOff>
    </xdr:from>
    <xdr:to>
      <xdr:col>2</xdr:col>
      <xdr:colOff>170815</xdr:colOff>
      <xdr:row>5</xdr:row>
      <xdr:rowOff>143510</xdr:rowOff>
    </xdr:to>
    <xdr:sp>
      <xdr:nvSpPr>
        <xdr:cNvPr id="9" name="Isosceles Triangle 8"/>
        <xdr:cNvSpPr/>
      </xdr:nvSpPr>
      <xdr:spPr>
        <a:xfrm>
          <a:off x="790575" y="2030095"/>
          <a:ext cx="179705" cy="179705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500">
              <a:solidFill>
                <a:sysClr val="windowText" lastClr="000000"/>
              </a:solidFill>
            </a:rPr>
            <a:t>0</a:t>
          </a:r>
          <a:r>
            <a:rPr lang="en-US" altLang="en-GB" sz="500">
              <a:solidFill>
                <a:sysClr val="windowText" lastClr="000000"/>
              </a:solidFill>
            </a:rPr>
            <a:t>2</a:t>
          </a:r>
          <a:endParaRPr lang="en-US" altLang="en-GB" sz="5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171450</xdr:colOff>
      <xdr:row>8</xdr:row>
      <xdr:rowOff>256540</xdr:rowOff>
    </xdr:from>
    <xdr:to>
      <xdr:col>8</xdr:col>
      <xdr:colOff>1143000</xdr:colOff>
      <xdr:row>27</xdr:row>
      <xdr:rowOff>66675</xdr:rowOff>
    </xdr:to>
    <xdr:graphicFrame>
      <xdr:nvGraphicFramePr>
        <xdr:cNvPr id="2" name="Chart 1"/>
        <xdr:cNvGraphicFramePr/>
      </xdr:nvGraphicFramePr>
      <xdr:xfrm>
        <a:off x="524510" y="3523615"/>
        <a:ext cx="7716520" cy="5058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30</xdr:row>
      <xdr:rowOff>95250</xdr:rowOff>
    </xdr:from>
    <xdr:to>
      <xdr:col>8</xdr:col>
      <xdr:colOff>1143000</xdr:colOff>
      <xdr:row>48</xdr:row>
      <xdr:rowOff>114300</xdr:rowOff>
    </xdr:to>
    <xdr:graphicFrame>
      <xdr:nvGraphicFramePr>
        <xdr:cNvPr id="5" name="Chart 1"/>
        <xdr:cNvGraphicFramePr/>
      </xdr:nvGraphicFramePr>
      <xdr:xfrm>
        <a:off x="467360" y="9439275"/>
        <a:ext cx="7773670" cy="499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123825</xdr:colOff>
      <xdr:row>51</xdr:row>
      <xdr:rowOff>47625</xdr:rowOff>
    </xdr:from>
    <xdr:to>
      <xdr:col>8</xdr:col>
      <xdr:colOff>1143000</xdr:colOff>
      <xdr:row>69</xdr:row>
      <xdr:rowOff>123825</xdr:rowOff>
    </xdr:to>
    <xdr:graphicFrame>
      <xdr:nvGraphicFramePr>
        <xdr:cNvPr id="7" name="Chart 1"/>
        <xdr:cNvGraphicFramePr/>
      </xdr:nvGraphicFramePr>
      <xdr:xfrm>
        <a:off x="476885" y="15192375"/>
        <a:ext cx="7764145" cy="504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114300</xdr:colOff>
      <xdr:row>72</xdr:row>
      <xdr:rowOff>27940</xdr:rowOff>
    </xdr:from>
    <xdr:to>
      <xdr:col>8</xdr:col>
      <xdr:colOff>1190625</xdr:colOff>
      <xdr:row>90</xdr:row>
      <xdr:rowOff>19685</xdr:rowOff>
    </xdr:to>
    <xdr:graphicFrame>
      <xdr:nvGraphicFramePr>
        <xdr:cNvPr id="8" name="Chart 1"/>
        <xdr:cNvGraphicFramePr/>
      </xdr:nvGraphicFramePr>
      <xdr:xfrm>
        <a:off x="467360" y="20973415"/>
        <a:ext cx="7821295" cy="4963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GjBn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My%20Documents\Yani\BPM%20&amp;%20AP\My%20Documents\bahan%20buku\form-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2\backup%20hrd%202016\Documents%20and%20Settings\Handi\Desktop\My%20Documents\Yani\BPM%20&amp;%20AP\My%20Documents\bahan%20buku\form-p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2\backup%20hrd%202016\Documents%20and%20Settings\TOSHIBA\Owner\Retail%202003\A.Plan\Sentra%20Layan\Data\Anton\F.%20HELEN%20S\In%20use\In%20use\McForecast%20(SF-XI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2\backup%20hrd%202016\Documents%20and%20Settings\TOSHIBA\Owner\Retail%202003\A.Plan\Sentra%20Layan\Data\Anton\WINDOWS\TEMP\BDAA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Handi\Desktop\My%20Documents\Yani\BPM%20&amp;%20AP\My%20Documents\bahan%20buku\form-p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\Anton\WINDOWS\TEMP\BDAA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F.%20HELEN%20S\In%20use\In%20use\McForecast%20(SF-XI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_server\NDS\F.%20HELEN%20S\In%20use\In%20use\McForecast%20(SF-XI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ocuments%20and%20Settings\TOSHIBA\Owner\Retail%202003\A.Plan\Direct%20Sales\Data\Anton\WINDOWS\TEMP\BDAA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\Anton\Data99\budget99\DAMHD\BUDFEB9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station\data%20of\Documents%20and%20Settings\Yudi%20H\Desktop\Plant%20WS\Others\Yudi%20Hermawan_Work\3.%20PT.%20Puninar%20Trans%20Mekar%20(Riau)\Cash%20Flow\4%20-%20apr%2006\Cash_Flow_of_April2006fin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Project\Documents%20and%20Settings\kuswanto\Local%20Settings\Temporary%20Internet%20Files\OLK10E0\Data_Sales-0501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Project\Documents%20and%20Settings\kuswanto\Local%20Settings\Temporary%20Internet%20Files\OLK10E0\CUST_LIST-05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station\data%20of\Documents%20and%20Settings\Yudi%20H\Desktop\Plant%20WS\Others\Documents%20and%20Settings\Puninar\My%20Documents\RANTAU\System%20&amp;%20Prosedur\Report\Tyre%20Repor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15.QMS\wessy\master%20karyawan%202010\BACK%20UP%20240908\master%20sep%2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My%20Documents\bahan%20buku\form-p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_SERVER\Oracle_Proj\F.%20HELEN%20S\BPM%20&amp;%20Act%20Plan\My%20Documents\bahan%20buku\form-p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\Anton\unzipped\BUDFEB98\BUDFEB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\Laporan%2099\Data%20Penjualan\MG-ARE~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ealers%20Meeting\F.%20HELEN%20S\HELEN%20050299.ZIP\In%20use\McForecast%20(SF-XI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station\data%20of\Documents%20and%20Settings\Yudi%20H\Desktop\Plant%20WS\Others\Documents%20and%20Settings\Puninar\My%20Documents\RANTAU\Daily%20Operational\Daily%20Operatio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station\data%20of\Documents%20and%20Settings\M%20Ikrar\My%20Documents\Ikrar\My%20Documents\Ikrar\Strategic%20Management\2008\Perencanaan%20Kerja%202008\Perencanaan%20TMS%20MD%20200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urn\Project\MANAGEMENT%20DEVELOPMENT\Strategic%20Planning%20&amp;%20Management\File%202007\COE\Agenda\Documents%20and%20Settings\Riafli\Local%20Settings\Temporary%20Internet%20Files\OLKA\Status%20Planning%20Cycle2007%2020070108%20(2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\Anton\DATA\DAMGAB98\REV15FE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\Anton\F.%20HELEN%20S\In%20use\In%20use\McForecast%20(SF-XI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Handi\Desktop\WINDOWS\TEMP\My%20Documents\bahan%20buku\form-p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Data%20HDK\ATQC%20Project\ATQM%20plus%20Book\ATQM%20Book%20Result\SC%20Result\My%20Documents\bahan%20buku\form-p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center\02.hrd\Documents%20and%20Settings\TOSHIBA\Owner\Retail%202003\A.Plan\Sentra%20Layan\unzipped\A.PLAN%202000%20DS\F.%20HELEN%20S\In%20use\In%20use\McForecast%20(SF-XI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HONDA"/>
      <sheetName val="BKL &amp; SR"/>
      <sheetName val="PSD"/>
      <sheetName val="TAP"/>
      <sheetName val="API"/>
      <sheetName val="CABANG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oceanvoyage"/>
      <sheetName val="Sheet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2003"/>
      <sheetName val="2004"/>
      <sheetName val="JAN"/>
      <sheetName val="PEB"/>
      <sheetName val="MART"/>
      <sheetName val="APRL"/>
      <sheetName val="MEI"/>
      <sheetName val="JUN"/>
      <sheetName val="JUL"/>
      <sheetName val="AGST"/>
      <sheetName val="SEPT"/>
      <sheetName val="OKT"/>
      <sheetName val="NOV"/>
      <sheetName val="DES"/>
      <sheetName val="5 YRs POLICY"/>
      <sheetName val="STRG INITIATIVES 2004-2008"/>
      <sheetName val="STRG INITIATIVES 04"/>
      <sheetName val="Activity Plan"/>
      <sheetName val="Juklak Act. Plan"/>
      <sheetName val="QUALITY"/>
      <sheetName val="COST"/>
      <sheetName val="DELIVERY"/>
      <sheetName val="MORAL"/>
      <sheetName val="D"/>
      <sheetName val="MH Mar"/>
      <sheetName val="MH"/>
      <sheetName val="M"/>
      <sheetName val="S"/>
      <sheetName val="D2"/>
      <sheetName val="D3"/>
      <sheetName val="Plan vs Aktual PI"/>
      <sheetName val="Akurasi stock PI"/>
      <sheetName val="Plan VS Aktual beban PTPL"/>
      <sheetName val="Part mth"/>
      <sheetName val="Stk Mth Akt"/>
      <sheetName val="FG PTPL"/>
      <sheetName val="Stk FG PTPL Akt"/>
      <sheetName val="Rim &amp; Plt"/>
      <sheetName val="Wheel Assy 1"/>
      <sheetName val="MP S1"/>
      <sheetName val="MP S2"/>
      <sheetName val="MP S3"/>
      <sheetName val="Plan Vs Actual"/>
      <sheetName val="FEB 05"/>
      <sheetName val="MECH-TRAINING &amp; pdi"/>
      <sheetName val="2002"/>
      <sheetName val="KPB"/>
      <sheetName val="Sheet8"/>
      <sheetName val="Original+CC"/>
      <sheetName val="BUDGET_1999"/>
      <sheetName val="Training"/>
      <sheetName val="QCC"/>
      <sheetName val="SS"/>
      <sheetName val="CustomerList"/>
      <sheetName val="ｺﾝY条件BD"/>
      <sheetName val="PERF TEST Pre 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_DEC98"/>
      <sheetName val="Sheet1"/>
      <sheetName val="BUDGET_1999"/>
      <sheetName val="Sheet2"/>
      <sheetName val="9NOP98"/>
      <sheetName val="NDS96_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oceanvoyage"/>
      <sheetName val="Sheet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2003"/>
      <sheetName val="2004"/>
      <sheetName val="JAN"/>
      <sheetName val="PEB"/>
      <sheetName val="MART"/>
      <sheetName val="APRL"/>
      <sheetName val="MEI"/>
      <sheetName val="JUN"/>
      <sheetName val="JUL"/>
      <sheetName val="AGST"/>
      <sheetName val="SEPT"/>
      <sheetName val="OKT"/>
      <sheetName val="NOV"/>
      <sheetName val="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OV_DEC98"/>
      <sheetName val="Sheet1"/>
      <sheetName val="BUDGET_1999"/>
      <sheetName val="Sheet2"/>
      <sheetName val="9NOP98"/>
      <sheetName val="NDS96_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  <sheetName val="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  <sheetName val="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SO PERF"/>
      <sheetName val="FORM"/>
      <sheetName val="SS"/>
      <sheetName val="PO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Sury! Kencana Motor"/>
      <sheetName val="forecast 2004"/>
      <sheetName val="MH"/>
      <sheetName val="S"/>
      <sheetName val="D"/>
      <sheetName val="M"/>
      <sheetName val="C"/>
      <sheetName val="Q (in progress)"/>
      <sheetName val="Informasi Dept"/>
      <sheetName val="ocean voyage"/>
      <sheetName val="______"/>
      <sheetName val="Sheet8"/>
      <sheetName val="Rekap"/>
      <sheetName val="All View"/>
      <sheetName val="Target Sls Dealer"/>
      <sheetName val="Sls Dealer"/>
      <sheetName val="BUDGET_1999"/>
      <sheetName val="Training"/>
      <sheetName val="QCC"/>
      <sheetName val="H2"/>
      <sheetName val="Check list H2"/>
      <sheetName val="KPB"/>
      <sheetName val="PERF TEST Pre MP"/>
      <sheetName val="Master H1"/>
      <sheetName val="Master H2"/>
      <sheetName val="Master H3"/>
      <sheetName val="INDEX"/>
      <sheetName val="Indr"/>
      <sheetName val="Ner"/>
      <sheetName val="_x005f_x0000__x005f_x0000__x005f_x0000__x005f_x0000__x0"/>
      <sheetName val="_x005f_x005f_x005f_x0000__x005f_x005f_x005f_x0000__x005"/>
      <sheetName val="_x005f_x005f_x005f_x005f_x005f_x005f_x005f_x0000__x005f"/>
      <sheetName val="_x005f_x0000__x005f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NOV_DEC98"/>
      <sheetName val="Sheet1"/>
      <sheetName val="BUDGET_1999"/>
      <sheetName val="Sheet2"/>
      <sheetName val="9NOP98"/>
      <sheetName val="NDS96_2000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Sheet2"/>
      <sheetName val="PSD"/>
      <sheetName val="TAP"/>
      <sheetName val="API-BDG"/>
      <sheetName val="API-BKS"/>
      <sheetName val="Sheet3"/>
      <sheetName val="Sheet8"/>
      <sheetName val="BUDGET_19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sh Flow _2_"/>
      <sheetName val="Cash Flow"/>
      <sheetName val="Sheet1"/>
      <sheetName val="Sheet2"/>
      <sheetName val="Sheet3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Graphic-0501"/>
      <sheetName val="By Asset"/>
      <sheetName val="By Ind"/>
      <sheetName val="REKAP"/>
      <sheetName val="ORD_INV-501"/>
      <sheetName val="ORD_INV-502"/>
      <sheetName val="ORD_INV-503"/>
      <sheetName val="List Area"/>
      <sheetName val="Sheet1"/>
      <sheetName val="Sheet8"/>
      <sheetName val="Data"/>
      <sheetName val="2002"/>
      <sheetName val="Master H1"/>
      <sheetName val="Master H2"/>
      <sheetName val="Master H3"/>
      <sheetName val="Indr"/>
      <sheetName val="Check list H2"/>
      <sheetName val="Cash Flow _2_"/>
      <sheetName val="ocean voyage"/>
      <sheetName val="HO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ustomerList"/>
      <sheetName val="Indust-Cust"/>
      <sheetName val="CD-Cust"/>
      <sheetName val="AREA Ver5"/>
      <sheetName val="CUST_ORD"/>
      <sheetName val="List Area"/>
      <sheetName val="List Truck"/>
      <sheetName val="Code Instruction"/>
      <sheetName val="KPB"/>
      <sheetName val="2002"/>
      <sheetName val="C100-KICK"/>
      <sheetName val="Sheet8"/>
      <sheetName val="Rekap All 2010 sem I"/>
      <sheetName val="ocean voyage"/>
      <sheetName val="Other"/>
      <sheetName val="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emakaian Ban"/>
      <sheetName val="Tabel-tabel"/>
      <sheetName val="Sheet3"/>
      <sheetName val="Tabel_tabel"/>
      <sheetName val="Customer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ster Karyawan"/>
      <sheetName val="Tabel-tabel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Master Karyaw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oceanvoyage"/>
      <sheetName val="Sheet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5 YRs POLICY"/>
      <sheetName val="STRG INITIATIVES 2004-2008"/>
      <sheetName val="STRG INITIATIVES 04"/>
      <sheetName val="Activity Plan"/>
      <sheetName val="Juklak Act. Plan"/>
      <sheetName val="2003"/>
      <sheetName val="2004"/>
      <sheetName val="JAN"/>
      <sheetName val="PEB"/>
      <sheetName val="MART"/>
      <sheetName val="APRL"/>
      <sheetName val="MEI"/>
      <sheetName val="JUN"/>
      <sheetName val="JUL"/>
      <sheetName val="AGST"/>
      <sheetName val="SEPT"/>
      <sheetName val="OKT"/>
      <sheetName val="NOV"/>
      <sheetName val="DES"/>
      <sheetName val="QUALITY"/>
      <sheetName val="COST"/>
      <sheetName val="DELIVERY"/>
      <sheetName val="MORAL"/>
      <sheetName val="D"/>
      <sheetName val="MH Mar"/>
      <sheetName val="MH"/>
      <sheetName val="M"/>
      <sheetName val="S"/>
      <sheetName val="D2"/>
      <sheetName val="D3"/>
      <sheetName val="Plan vs Aktual PI"/>
      <sheetName val="Akurasi stock PI"/>
      <sheetName val="Plan VS Aktual beban PTPL"/>
      <sheetName val="Part mth"/>
      <sheetName val="Stk Mth Akt"/>
      <sheetName val="FG PTPL"/>
      <sheetName val="Stk FG PTPL Akt"/>
      <sheetName val="Rim &amp; Plt"/>
      <sheetName val="Wheel Assy 1"/>
      <sheetName val="MP S1"/>
      <sheetName val="MP S2"/>
      <sheetName val="MP S3"/>
      <sheetName val="Plan Vs Actual"/>
      <sheetName val="Beli Mtr"/>
      <sheetName val="2002"/>
      <sheetName val="Beli Mtr 08"/>
      <sheetName val="Indr"/>
      <sheetName val="BUDGET_1999"/>
      <sheetName val="Sheet8"/>
      <sheetName val="ｺﾝY条件BD"/>
      <sheetName val="FEB 05"/>
      <sheetName val="MECH-TRAINING &amp; pdi"/>
      <sheetName val="Original+CC"/>
      <sheetName val="KPB"/>
      <sheetName val="Training"/>
      <sheetName val="QCC"/>
      <sheetName val="SS"/>
      <sheetName val="CustomerList"/>
      <sheetName val="PERF TEST Pre MP"/>
      <sheetName val="Asset"/>
      <sheetName val="Bandung"/>
      <sheetName val="Cirebon"/>
      <sheetName val="Karawang"/>
      <sheetName val="H2"/>
      <sheetName val="SHEET2"/>
      <sheetName val="SHEET6"/>
      <sheetName val="GBY_C企"/>
      <sheetName val="Calendar"/>
      <sheetName val="C100-KICK"/>
      <sheetName val="INDEX"/>
      <sheetName val="Form"/>
      <sheetName val="Analisa WWT"/>
      <sheetName val="RSM Total"/>
      <sheetName val="Data"/>
      <sheetName val="CALCULATION"/>
      <sheetName val="Agustus 2007"/>
      <sheetName val="GBY.C企"/>
      <sheetName val="AHQIC"/>
      <sheetName val="Kepri"/>
      <sheetName val="RIDAR"/>
      <sheetName val="JLSNER-HD99_"/>
      <sheetName val="karylengkap"/>
      <sheetName val="Report7"/>
      <sheetName val="RADIO CONTROLS"/>
      <sheetName val="ANGGARAN"/>
      <sheetName val="pola prod"/>
      <sheetName val="SM-13仕様一覧"/>
      <sheetName val="原単位表00M"/>
      <sheetName val="EPS ALL ITEM"/>
      <sheetName val="Status Q"/>
      <sheetName val="JLSNER_HD99_"/>
      <sheetName val="Original_CC"/>
      <sheetName val="Tabel-tab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Sheet2"/>
      <sheetName val="PSD"/>
      <sheetName val="TAP"/>
      <sheetName val="API-BDG"/>
      <sheetName val="API-BKS"/>
      <sheetName val="Sheet3"/>
      <sheetName val="Sheet8"/>
      <sheetName val="ocean voy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ndr"/>
      <sheetName val="Cms"/>
      <sheetName val="Skbmi"/>
      <sheetName val="Subang"/>
      <sheetName val="Mjlk"/>
      <sheetName val="Tasik"/>
      <sheetName val="Cjr"/>
      <sheetName val="Kun"/>
      <sheetName val="Pwt"/>
      <sheetName val="Grt"/>
      <sheetName val="Smd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  <sheetName val="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Ind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Daily Operation"/>
      <sheetName val="Tonase"/>
      <sheetName val="Insentive"/>
      <sheetName val="Report Insentive"/>
      <sheetName val="Report Tonase"/>
      <sheetName val="Driver"/>
      <sheetName val="Unit"/>
      <sheetName val="Other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QMS2008"/>
      <sheetName val="QMS2008 (basic data) "/>
      <sheetName val="QCC2008"/>
      <sheetName val="QCC2008 (basic data)"/>
      <sheetName val="SS2008"/>
      <sheetName val="5R2008"/>
      <sheetName val="QMS2007"/>
      <sheetName val="QCC2007"/>
      <sheetName val="SS2007"/>
      <sheetName val="5R2007"/>
      <sheetName val="Sheet2"/>
      <sheetName val="Sheet3"/>
      <sheetName val="Other"/>
      <sheetName val="Unit"/>
      <sheetName val="PART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QMS2007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LR-HD98"/>
      <sheetName val="Sheet1"/>
      <sheetName val="PBLL"/>
      <sheetName val="RINBI-HD98"/>
      <sheetName val="Sheet2"/>
      <sheetName val="NER-HD98-99"/>
      <sheetName val="JLSNER-HD98"/>
      <sheetName val="JLSNER-HD9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oceanvoyage"/>
      <sheetName val="Sheet1"/>
      <sheetName val="Tunas Motor"/>
      <sheetName val="Bali Sena Motor"/>
      <sheetName val="Prima Jaya Motor"/>
      <sheetName val="Setia Motor"/>
      <sheetName val="Akur Motor Ps"/>
      <sheetName val="Akur Motor Tlp"/>
      <sheetName val="Intan Motor"/>
      <sheetName val="Surya Sari Motor"/>
      <sheetName val="Jaya Motor"/>
      <sheetName val="Bhinneka Motor"/>
      <sheetName val="Bhinneka Motor 2"/>
      <sheetName val="Tunas Baru Motor"/>
      <sheetName val="Lumayan Motor"/>
      <sheetName val="Salim Jaya Motor"/>
      <sheetName val="Rona Motor"/>
      <sheetName val="Istana Motor"/>
      <sheetName val="Honda Motor"/>
      <sheetName val="Lampung Motor Bk"/>
      <sheetName val="Lampung Motor U2"/>
      <sheetName val="Surya Kencana Motor"/>
      <sheetName val="Metro Motor"/>
      <sheetName val="Tunas Muda Motor"/>
      <sheetName val="Tunas Dwipa Matra"/>
      <sheetName val="DAILY DIST"/>
      <sheetName val="ACT1"/>
      <sheetName val="ACT2"/>
      <sheetName val="ACT3"/>
      <sheetName val="TTLACT"/>
      <sheetName val="AHM"/>
      <sheetName val="Types"/>
      <sheetName val="SA"/>
      <sheetName val="Dist Dealer per tgl"/>
      <sheetName val="Distribution Analysis"/>
      <sheetName val="10"/>
      <sheetName val="11-20"/>
      <sheetName val="20"/>
      <sheetName val="21-30"/>
      <sheetName val="30"/>
      <sheetName val="dealer1"/>
      <sheetName val="dealer2"/>
      <sheetName val="type"/>
      <sheetName val="RFS-10"/>
      <sheetName val="RFS-20"/>
      <sheetName val="RFS-30"/>
      <sheetName val="RFS-DLR"/>
      <sheetName val="RFS-TYP"/>
      <sheetName val="Chartsales"/>
      <sheetName val="DailySales"/>
      <sheetName val="Contribution"/>
      <sheetName val="general info "/>
      <sheetName val="porter"/>
      <sheetName val="swot"/>
      <sheetName val="winning-concept"/>
      <sheetName val="2003"/>
      <sheetName val="2004"/>
      <sheetName val="JAN"/>
      <sheetName val="PEB"/>
      <sheetName val="MART"/>
      <sheetName val="APRL"/>
      <sheetName val="MEI"/>
      <sheetName val="JUN"/>
      <sheetName val="JUL"/>
      <sheetName val="AGST"/>
      <sheetName val="SEPT"/>
      <sheetName val="OKT"/>
      <sheetName val="NOV"/>
      <sheetName val="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02"/>
      <sheetName val="Name"/>
      <sheetName val="2T-4T"/>
      <sheetName val="ocean voyage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68"/>
  <sheetViews>
    <sheetView tabSelected="1" view="pageBreakPreview" zoomScale="50" zoomScaleNormal="70" topLeftCell="A29" workbookViewId="0">
      <selection activeCell="I8" sqref="I8"/>
    </sheetView>
  </sheetViews>
  <sheetFormatPr defaultColWidth="9.14285714285714" defaultRowHeight="15"/>
  <cols>
    <col min="1" max="1" width="2.84761904761905" style="93" customWidth="1"/>
    <col min="2" max="2" width="9.14285714285714" style="93"/>
    <col min="3" max="3" width="43.6" style="93" customWidth="1"/>
    <col min="4" max="4" width="87.9714285714286" style="93" customWidth="1"/>
    <col min="5" max="5" width="16.2761904761905" style="93" customWidth="1"/>
    <col min="6" max="6" width="16.3619047619048" style="93" customWidth="1"/>
    <col min="7" max="7" width="33.7619047619048" style="93" customWidth="1"/>
    <col min="8" max="8" width="17.1333333333333" style="93" customWidth="1"/>
    <col min="9" max="9" width="16.352380952381" style="93" customWidth="1"/>
    <col min="10" max="10" width="26.4857142857143" style="93" customWidth="1"/>
    <col min="11" max="11" width="7.02857142857143" style="93" customWidth="1"/>
    <col min="12" max="25" width="9.14285714285714" style="93"/>
    <col min="26" max="28" width="27.3142857142857" style="93" customWidth="1"/>
    <col min="29" max="16383" width="9.14285714285714" style="93"/>
  </cols>
  <sheetData>
    <row r="1" s="91" customFormat="1" ht="27" customHeight="1" spans="1:11">
      <c r="A1" s="95"/>
      <c r="B1" s="95"/>
      <c r="C1" s="95"/>
      <c r="D1" s="95"/>
      <c r="E1" s="95"/>
      <c r="F1" s="95"/>
      <c r="G1" s="95"/>
      <c r="H1" s="95"/>
      <c r="I1" s="96" t="s">
        <v>0</v>
      </c>
      <c r="J1" s="96"/>
      <c r="K1" s="97"/>
    </row>
    <row r="2" s="91" customFormat="1" ht="22.35" customHeight="1" spans="1:11">
      <c r="A2" s="98"/>
      <c r="B2" s="99"/>
      <c r="C2" s="99"/>
      <c r="D2" s="99"/>
      <c r="E2" s="99"/>
      <c r="F2" s="99"/>
      <c r="G2" s="99"/>
      <c r="H2" s="99"/>
      <c r="I2" s="99"/>
      <c r="J2" s="99"/>
      <c r="K2" s="100"/>
    </row>
    <row r="3" s="91" customFormat="1" ht="22.35" customHeight="1" spans="1:11">
      <c r="A3" s="101"/>
      <c r="B3" s="95"/>
      <c r="C3" s="95"/>
      <c r="D3" s="95"/>
      <c r="E3" s="95"/>
      <c r="F3" s="95"/>
      <c r="G3" s="95"/>
      <c r="H3" s="95"/>
      <c r="I3" s="95"/>
      <c r="J3" s="95"/>
      <c r="K3" s="102"/>
    </row>
    <row r="4" s="91" customFormat="1" ht="84" customHeight="1" spans="1:11">
      <c r="A4" s="101"/>
      <c r="B4" s="103" t="s">
        <v>1</v>
      </c>
      <c r="C4" s="104"/>
      <c r="D4" s="104"/>
      <c r="E4" s="104"/>
      <c r="F4" s="104"/>
      <c r="G4" s="104"/>
      <c r="H4" s="104"/>
      <c r="I4" s="104"/>
      <c r="J4" s="105"/>
      <c r="K4" s="106"/>
    </row>
    <row r="5" s="91" customFormat="1" ht="7" customHeight="1" spans="1:11">
      <c r="A5" s="101"/>
      <c r="B5" s="107"/>
      <c r="C5" s="107"/>
      <c r="D5" s="108"/>
      <c r="E5" s="109"/>
      <c r="F5" s="109"/>
      <c r="G5" s="109"/>
      <c r="H5" s="109"/>
      <c r="I5" s="109"/>
      <c r="J5" s="109"/>
      <c r="K5" s="102"/>
    </row>
    <row r="6" s="92" customFormat="1" ht="32" customHeight="1" spans="1:11">
      <c r="A6" s="110"/>
      <c r="B6" s="111" t="s">
        <v>2</v>
      </c>
      <c r="C6" s="111"/>
      <c r="D6" s="111" t="s">
        <v>3</v>
      </c>
      <c r="E6" s="112"/>
      <c r="F6" s="112"/>
      <c r="G6" s="113" t="s">
        <v>4</v>
      </c>
      <c r="H6" s="113"/>
      <c r="I6" s="111" t="s">
        <v>3</v>
      </c>
      <c r="J6" s="112"/>
      <c r="K6" s="114"/>
    </row>
    <row r="7" s="92" customFormat="1" ht="32" customHeight="1" spans="1:11">
      <c r="A7" s="110"/>
      <c r="B7" s="111" t="s">
        <v>5</v>
      </c>
      <c r="C7" s="111"/>
      <c r="D7" s="111" t="s">
        <v>6</v>
      </c>
      <c r="E7" s="112"/>
      <c r="F7" s="112"/>
      <c r="G7" s="113" t="s">
        <v>7</v>
      </c>
      <c r="H7" s="113"/>
      <c r="I7" s="111" t="s">
        <v>3</v>
      </c>
      <c r="J7" s="112"/>
      <c r="K7" s="114"/>
    </row>
    <row r="8" s="92" customFormat="1" ht="32" customHeight="1" spans="1:11">
      <c r="A8" s="110"/>
      <c r="B8" s="111" t="s">
        <v>8</v>
      </c>
      <c r="C8" s="111"/>
      <c r="D8" s="111"/>
      <c r="E8" s="112"/>
      <c r="F8" s="112"/>
      <c r="G8" s="113" t="s">
        <v>9</v>
      </c>
      <c r="H8" s="113"/>
      <c r="I8" s="111" t="s">
        <v>3</v>
      </c>
      <c r="J8" s="112"/>
      <c r="K8" s="114"/>
    </row>
    <row r="9" s="92" customFormat="1" ht="32" customHeight="1" spans="1:11">
      <c r="A9" s="110"/>
      <c r="B9" s="111" t="s">
        <v>10</v>
      </c>
      <c r="C9" s="111"/>
      <c r="D9" s="111" t="s">
        <v>3</v>
      </c>
      <c r="E9" s="115"/>
      <c r="F9" s="115"/>
      <c r="G9" s="113"/>
      <c r="H9" s="113"/>
      <c r="I9" s="111"/>
      <c r="J9" s="115"/>
      <c r="K9" s="114"/>
    </row>
    <row r="10" s="93" customFormat="1" ht="32" customHeight="1" spans="1:11">
      <c r="A10" s="116"/>
      <c r="K10" s="117"/>
    </row>
    <row r="11" s="93" customFormat="1" ht="32" customHeight="1" spans="1:11">
      <c r="A11" s="116"/>
      <c r="B11" s="118" t="s">
        <v>11</v>
      </c>
      <c r="C11" s="119" t="s">
        <v>12</v>
      </c>
      <c r="D11" s="118" t="s">
        <v>13</v>
      </c>
      <c r="E11" s="118" t="s">
        <v>14</v>
      </c>
      <c r="F11" s="118" t="s">
        <v>15</v>
      </c>
      <c r="G11" s="118" t="s">
        <v>16</v>
      </c>
      <c r="H11" s="118" t="s">
        <v>17</v>
      </c>
      <c r="I11" s="118" t="s">
        <v>18</v>
      </c>
      <c r="J11" s="118" t="s">
        <v>19</v>
      </c>
      <c r="K11" s="117"/>
    </row>
    <row r="12" s="93" customFormat="1" ht="32" customHeight="1" spans="1:11">
      <c r="A12" s="116"/>
      <c r="B12" s="118"/>
      <c r="C12" s="119"/>
      <c r="D12" s="118"/>
      <c r="E12" s="118"/>
      <c r="F12" s="118"/>
      <c r="G12" s="118"/>
      <c r="H12" s="118"/>
      <c r="I12" s="118"/>
      <c r="J12" s="118"/>
      <c r="K12" s="117"/>
    </row>
    <row r="13" s="94" customFormat="1" ht="32" customHeight="1" spans="1:11">
      <c r="A13" s="120"/>
      <c r="B13" s="121"/>
      <c r="C13" s="121"/>
      <c r="D13" s="121"/>
      <c r="E13" s="121"/>
      <c r="F13" s="121"/>
      <c r="G13" s="121"/>
      <c r="H13" s="121"/>
      <c r="I13" s="121"/>
      <c r="J13" s="121"/>
      <c r="K13" s="124"/>
    </row>
    <row r="14" s="94" customFormat="1" ht="32" customHeight="1" spans="1:11">
      <c r="A14" s="120"/>
      <c r="B14" s="121"/>
      <c r="C14" s="121"/>
      <c r="D14" s="121"/>
      <c r="E14" s="121"/>
      <c r="F14" s="121"/>
      <c r="G14" s="121"/>
      <c r="H14" s="121"/>
      <c r="I14" s="121"/>
      <c r="J14" s="121"/>
      <c r="K14" s="124"/>
    </row>
    <row r="15" s="94" customFormat="1" ht="32" customHeight="1" spans="1:11">
      <c r="A15" s="120"/>
      <c r="B15" s="121"/>
      <c r="C15" s="121"/>
      <c r="D15" s="121"/>
      <c r="E15" s="121"/>
      <c r="F15" s="121"/>
      <c r="G15" s="121"/>
      <c r="H15" s="121"/>
      <c r="I15" s="121"/>
      <c r="J15" s="121"/>
      <c r="K15" s="124"/>
    </row>
    <row r="16" s="94" customFormat="1" ht="32" customHeight="1" spans="1:11">
      <c r="A16" s="120"/>
      <c r="B16" s="121"/>
      <c r="C16" s="121"/>
      <c r="D16" s="121"/>
      <c r="E16" s="121"/>
      <c r="F16" s="121"/>
      <c r="G16" s="121"/>
      <c r="H16" s="121"/>
      <c r="I16" s="121"/>
      <c r="J16" s="121"/>
      <c r="K16" s="124"/>
    </row>
    <row r="17" s="94" customFormat="1" ht="32" customHeight="1" spans="1:11">
      <c r="A17" s="120"/>
      <c r="B17" s="121"/>
      <c r="C17" s="121"/>
      <c r="D17" s="121"/>
      <c r="E17" s="121"/>
      <c r="F17" s="121"/>
      <c r="G17" s="121"/>
      <c r="H17" s="121"/>
      <c r="I17" s="121"/>
      <c r="J17" s="121"/>
      <c r="K17" s="124"/>
    </row>
    <row r="18" s="94" customFormat="1" ht="32" customHeight="1" spans="1:11">
      <c r="A18" s="120"/>
      <c r="B18" s="121"/>
      <c r="C18" s="121"/>
      <c r="D18" s="121"/>
      <c r="E18" s="121"/>
      <c r="F18" s="121"/>
      <c r="G18" s="121"/>
      <c r="H18" s="121"/>
      <c r="I18" s="121"/>
      <c r="J18" s="121"/>
      <c r="K18" s="124"/>
    </row>
    <row r="19" s="94" customFormat="1" ht="32" customHeight="1" spans="1:11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4"/>
    </row>
    <row r="20" s="94" customFormat="1" ht="32" customHeight="1" spans="1:11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4"/>
    </row>
    <row r="21" s="94" customFormat="1" ht="32" customHeight="1" spans="1:11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4"/>
    </row>
    <row r="22" s="94" customFormat="1" ht="32" customHeight="1" spans="1:11">
      <c r="A22" s="120"/>
      <c r="B22" s="121"/>
      <c r="C22" s="121"/>
      <c r="D22" s="121"/>
      <c r="E22" s="121"/>
      <c r="F22" s="121"/>
      <c r="G22" s="121"/>
      <c r="H22" s="121"/>
      <c r="I22" s="121"/>
      <c r="J22" s="121"/>
      <c r="K22" s="124"/>
    </row>
    <row r="23" s="94" customFormat="1" ht="32" customHeight="1" spans="1:11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4"/>
    </row>
    <row r="24" s="94" customFormat="1" ht="32" customHeight="1" spans="1:11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24"/>
    </row>
    <row r="25" s="94" customFormat="1" ht="32" customHeight="1" spans="1:11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4"/>
    </row>
    <row r="26" s="94" customFormat="1" ht="32" customHeight="1" spans="1:11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4"/>
    </row>
    <row r="27" s="94" customFormat="1" ht="32" customHeight="1" spans="1:11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4"/>
    </row>
    <row r="28" s="94" customFormat="1" ht="32" customHeight="1" spans="1:11">
      <c r="A28" s="120"/>
      <c r="B28" s="121"/>
      <c r="C28" s="121"/>
      <c r="D28" s="121"/>
      <c r="E28" s="121"/>
      <c r="F28" s="121"/>
      <c r="G28" s="121"/>
      <c r="H28" s="121"/>
      <c r="I28" s="121"/>
      <c r="J28" s="121"/>
      <c r="K28" s="124"/>
    </row>
    <row r="29" s="94" customFormat="1" ht="32" customHeight="1" spans="1:11">
      <c r="A29" s="120"/>
      <c r="B29" s="121"/>
      <c r="C29" s="121"/>
      <c r="D29" s="121"/>
      <c r="E29" s="121"/>
      <c r="F29" s="121"/>
      <c r="G29" s="121"/>
      <c r="H29" s="121"/>
      <c r="I29" s="121"/>
      <c r="J29" s="121"/>
      <c r="K29" s="124"/>
    </row>
    <row r="30" s="94" customFormat="1" ht="32" customHeight="1" spans="1:11">
      <c r="A30" s="120"/>
      <c r="B30" s="121"/>
      <c r="C30" s="121"/>
      <c r="D30" s="121"/>
      <c r="E30" s="121"/>
      <c r="F30" s="121"/>
      <c r="G30" s="121"/>
      <c r="H30" s="121"/>
      <c r="I30" s="121"/>
      <c r="J30" s="121"/>
      <c r="K30" s="124"/>
    </row>
    <row r="31" s="94" customFormat="1" ht="32" customHeight="1" spans="1:11">
      <c r="A31" s="120"/>
      <c r="B31" s="121"/>
      <c r="C31" s="121"/>
      <c r="D31" s="121"/>
      <c r="E31" s="121"/>
      <c r="F31" s="121"/>
      <c r="G31" s="121"/>
      <c r="H31" s="121"/>
      <c r="I31" s="121"/>
      <c r="J31" s="121"/>
      <c r="K31" s="124"/>
    </row>
    <row r="32" s="94" customFormat="1" ht="32" customHeight="1" spans="1:1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4"/>
    </row>
    <row r="33" s="94" customFormat="1" ht="32" customHeight="1" spans="1:11">
      <c r="A33" s="120"/>
      <c r="B33" s="121"/>
      <c r="C33" s="121"/>
      <c r="D33" s="121"/>
      <c r="E33" s="121"/>
      <c r="F33" s="125"/>
      <c r="G33" s="121"/>
      <c r="H33" s="121"/>
      <c r="I33" s="121"/>
      <c r="J33" s="121"/>
      <c r="K33" s="124"/>
    </row>
    <row r="34" s="94" customFormat="1" ht="32" customHeight="1" spans="1:11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4"/>
    </row>
    <row r="35" s="93" customFormat="1" ht="32" customHeight="1" spans="1:11">
      <c r="A35" s="116"/>
      <c r="B35" s="126" t="s">
        <v>20</v>
      </c>
      <c r="C35" s="126"/>
      <c r="D35" s="126"/>
      <c r="E35" s="127"/>
      <c r="F35" s="127"/>
      <c r="G35" s="127"/>
      <c r="H35" s="128"/>
      <c r="I35" s="129"/>
      <c r="J35" s="130" t="e">
        <f>J13+J14+J15+J16+J17+J18+J19+#REF!+#REF!+#REF!</f>
        <v>#REF!</v>
      </c>
      <c r="K35" s="117"/>
    </row>
    <row r="36" s="93" customFormat="1" ht="32" customHeight="1" spans="1:11">
      <c r="A36" s="116"/>
      <c r="K36" s="117"/>
    </row>
    <row r="37" s="93" customFormat="1" ht="32" customHeight="1" spans="1:11">
      <c r="A37" s="116"/>
      <c r="K37" s="117"/>
    </row>
    <row r="38" s="93" customFormat="1" ht="32" customHeight="1" spans="1:11">
      <c r="A38" s="116"/>
      <c r="C38" s="131"/>
      <c r="D38" s="132"/>
      <c r="E38" s="133"/>
      <c r="F38" s="133"/>
      <c r="G38" s="134"/>
      <c r="H38" s="134"/>
      <c r="I38" s="134"/>
      <c r="J38" s="134"/>
      <c r="K38" s="117"/>
    </row>
    <row r="39" s="93" customFormat="1" ht="32" customHeight="1" spans="1:11">
      <c r="A39" s="116"/>
      <c r="C39" s="135"/>
      <c r="D39" s="132"/>
      <c r="E39" s="136"/>
      <c r="F39" s="136"/>
      <c r="G39" s="136"/>
      <c r="H39" s="135"/>
      <c r="I39" s="135"/>
      <c r="J39" s="135"/>
      <c r="K39" s="117"/>
    </row>
    <row r="40" s="93" customFormat="1" ht="32" customHeight="1" spans="1:11">
      <c r="A40" s="116"/>
      <c r="C40" s="137"/>
      <c r="D40" s="132"/>
      <c r="E40" s="137"/>
      <c r="F40" s="137"/>
      <c r="G40" s="137"/>
      <c r="H40" s="137"/>
      <c r="I40" s="137"/>
      <c r="J40" s="138"/>
      <c r="K40" s="117"/>
    </row>
    <row r="41" s="93" customFormat="1" ht="32" customHeight="1" spans="1:11">
      <c r="A41" s="116"/>
      <c r="C41" s="137"/>
      <c r="D41" s="132"/>
      <c r="E41" s="137"/>
      <c r="F41" s="137"/>
      <c r="G41" s="137"/>
      <c r="H41" s="137"/>
      <c r="I41" s="137"/>
      <c r="J41" s="138"/>
      <c r="K41" s="117"/>
    </row>
    <row r="42" s="93" customFormat="1" ht="32" customHeight="1" spans="1:11">
      <c r="A42" s="116"/>
      <c r="C42" s="137"/>
      <c r="D42" s="132"/>
      <c r="E42" s="137"/>
      <c r="F42" s="137"/>
      <c r="G42" s="137"/>
      <c r="H42" s="137"/>
      <c r="I42" s="137"/>
      <c r="J42" s="138"/>
      <c r="K42" s="117"/>
    </row>
    <row r="43" s="93" customFormat="1" ht="32" customHeight="1" spans="1:11">
      <c r="A43" s="116"/>
      <c r="C43" s="135"/>
      <c r="D43" s="132"/>
      <c r="E43" s="137"/>
      <c r="F43" s="137"/>
      <c r="G43" s="137"/>
      <c r="H43" s="139"/>
      <c r="I43" s="139"/>
      <c r="J43" s="139"/>
      <c r="K43" s="117"/>
    </row>
    <row r="44" s="93" customFormat="1" ht="32" customHeight="1" spans="1:11">
      <c r="A44" s="116"/>
      <c r="C44" s="135"/>
      <c r="D44" s="132"/>
      <c r="E44" s="135"/>
      <c r="F44" s="135"/>
      <c r="G44" s="135"/>
      <c r="H44" s="135"/>
      <c r="I44" s="135"/>
      <c r="J44" s="135"/>
      <c r="K44" s="117"/>
    </row>
    <row r="45" s="93" customFormat="1" ht="32" customHeight="1" spans="1:11">
      <c r="A45" s="116"/>
      <c r="C45" s="132"/>
      <c r="D45" s="132"/>
      <c r="E45" s="132"/>
      <c r="F45" s="132"/>
      <c r="G45" s="132"/>
      <c r="H45" s="132"/>
      <c r="I45" s="132"/>
      <c r="J45" s="132"/>
      <c r="K45" s="117"/>
    </row>
    <row r="46" s="93" customFormat="1" ht="32" customHeight="1" spans="1:11">
      <c r="A46" s="116"/>
      <c r="G46" s="132"/>
      <c r="H46" s="132"/>
      <c r="I46" s="132"/>
      <c r="J46" s="132"/>
      <c r="K46" s="117"/>
    </row>
    <row r="47" s="93" customFormat="1" ht="32" customHeight="1" spans="1:11">
      <c r="A47" s="116"/>
      <c r="G47" s="132"/>
      <c r="H47" s="132"/>
      <c r="I47" s="132"/>
      <c r="J47" s="132"/>
      <c r="K47" s="117"/>
    </row>
    <row r="48" s="93" customFormat="1" ht="32" customHeight="1" spans="1:11">
      <c r="A48" s="116"/>
      <c r="G48" s="132"/>
      <c r="H48" s="132"/>
      <c r="I48" s="132"/>
      <c r="J48" s="132"/>
      <c r="K48" s="117"/>
    </row>
    <row r="49" s="93" customFormat="1" ht="32" customHeight="1" spans="1:29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2"/>
    </row>
    <row r="63" ht="26" customHeight="1" spans="1:29">
      <c r="Z63" s="143" t="s">
        <v>21</v>
      </c>
      <c r="AA63" s="143" t="s">
        <v>22</v>
      </c>
      <c r="AB63" s="143" t="s">
        <v>23</v>
      </c>
      <c r="AC63" s="144"/>
    </row>
    <row r="64" ht="26" customHeight="1" spans="1:29">
      <c r="Z64" s="145"/>
      <c r="AA64" s="145"/>
      <c r="AB64" s="145"/>
      <c r="AC64" s="144"/>
    </row>
    <row r="65" ht="48" customHeight="1" spans="26:29">
      <c r="Z65" s="146"/>
      <c r="AA65" s="146"/>
      <c r="AB65" s="146"/>
      <c r="AC65" s="144"/>
    </row>
    <row r="66" ht="26" customHeight="1" spans="26:29">
      <c r="Z66" s="147"/>
      <c r="AA66" s="147"/>
      <c r="AB66" s="147"/>
      <c r="AC66" s="144"/>
    </row>
    <row r="67" ht="26" customHeight="1" spans="26:29">
      <c r="Z67" s="143" t="s">
        <v>24</v>
      </c>
      <c r="AA67" s="143" t="s">
        <v>25</v>
      </c>
      <c r="AB67" s="143" t="s">
        <v>26</v>
      </c>
      <c r="AC67" s="144"/>
    </row>
    <row r="68" ht="26" customHeight="1" spans="26:29">
      <c r="Z68" s="143" t="s">
        <v>27</v>
      </c>
      <c r="AA68" s="143" t="s">
        <v>28</v>
      </c>
      <c r="AB68" s="143" t="s">
        <v>29</v>
      </c>
      <c r="AC68" s="144"/>
    </row>
  </sheetData>
  <mergeCells count="27">
    <mergeCell ref="I1:K1"/>
    <mergeCell ref="B4:J4"/>
    <mergeCell ref="B5:C5"/>
    <mergeCell ref="B6:C6"/>
    <mergeCell ref="G6:H6"/>
    <mergeCell ref="B7:C7"/>
    <mergeCell ref="G7:H7"/>
    <mergeCell ref="B8:C8"/>
    <mergeCell ref="G8:H8"/>
    <mergeCell ref="B9:C9"/>
    <mergeCell ref="G9:H9"/>
    <mergeCell ref="B35:D35"/>
    <mergeCell ref="H39:I39"/>
    <mergeCell ref="E44:F44"/>
    <mergeCell ref="H44:I44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Z64:Z66"/>
    <mergeCell ref="AA64:AA66"/>
    <mergeCell ref="AB64:AB66"/>
  </mergeCells>
  <dataValidations count="2">
    <dataValidation type="list" allowBlank="1" showInputMessage="1" showErrorMessage="1" sqref="D8">
      <formula1>Sheet2!$E$4:$E$7</formula1>
    </dataValidation>
    <dataValidation type="list" allowBlank="1" showInputMessage="1" showErrorMessage="1" sqref="D9">
      <formula1>Sheet2!$C$4:$C$23</formula1>
    </dataValidation>
  </dataValidations>
  <printOptions horizontalCentered="1"/>
  <pageMargins left="0.2" right="0" top="0.469444444444444" bottom="0.279861111111111" header="0" footer="0.3"/>
  <pageSetup paperSize="9" scale="35" fitToWidth="0" orientation="landscape" horizontalDpi="600"/>
  <headerFooter/>
  <colBreaks count="1" manualBreakCount="1">
    <brk id="11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68"/>
  <sheetViews>
    <sheetView view="pageBreakPreview" zoomScale="85" zoomScaleNormal="70" topLeftCell="A4" workbookViewId="0">
      <selection activeCell="P7" sqref="P7"/>
    </sheetView>
  </sheetViews>
  <sheetFormatPr defaultColWidth="9.14285714285714" defaultRowHeight="15"/>
  <cols>
    <col min="1" max="1" width="2.84761904761905" style="93" customWidth="1"/>
    <col min="2" max="2" width="9.14285714285714" style="93"/>
    <col min="3" max="3" width="43.6" style="93" customWidth="1"/>
    <col min="4" max="4" width="87.9714285714286" style="93" customWidth="1"/>
    <col min="5" max="5" width="16.2761904761905" style="93" customWidth="1"/>
    <col min="6" max="6" width="16.3619047619048" style="93" customWidth="1"/>
    <col min="7" max="7" width="24.4095238095238" style="93" customWidth="1"/>
    <col min="8" max="8" width="17.1333333333333" style="93" customWidth="1"/>
    <col min="9" max="9" width="16.352380952381" style="93" customWidth="1"/>
    <col min="10" max="10" width="26.4857142857143" style="93" customWidth="1"/>
    <col min="11" max="11" width="7.02857142857143" style="93" customWidth="1"/>
    <col min="12" max="25" width="9.14285714285714" style="93"/>
    <col min="26" max="28" width="27.3142857142857" style="93" customWidth="1"/>
    <col min="29" max="16383" width="9.14285714285714" style="93"/>
  </cols>
  <sheetData>
    <row r="1" s="91" customFormat="1" ht="27" customHeight="1" spans="1:11">
      <c r="A1" s="95"/>
      <c r="B1" s="95"/>
      <c r="C1" s="95"/>
      <c r="D1" s="95"/>
      <c r="E1" s="95"/>
      <c r="F1" s="95"/>
      <c r="G1" s="95"/>
      <c r="H1" s="95"/>
      <c r="I1" s="96" t="s">
        <v>0</v>
      </c>
      <c r="J1" s="96"/>
      <c r="K1" s="97"/>
    </row>
    <row r="2" s="91" customFormat="1" ht="22.35" customHeight="1" spans="1:11">
      <c r="A2" s="98"/>
      <c r="B2" s="99"/>
      <c r="C2" s="99"/>
      <c r="D2" s="99"/>
      <c r="E2" s="99"/>
      <c r="F2" s="99"/>
      <c r="G2" s="99"/>
      <c r="H2" s="99"/>
      <c r="I2" s="99"/>
      <c r="J2" s="99"/>
      <c r="K2" s="100"/>
    </row>
    <row r="3" s="91" customFormat="1" ht="22.35" customHeight="1" spans="1:11">
      <c r="A3" s="101"/>
      <c r="B3" s="95"/>
      <c r="C3" s="95"/>
      <c r="D3" s="95"/>
      <c r="E3" s="95"/>
      <c r="F3" s="95"/>
      <c r="G3" s="95"/>
      <c r="H3" s="95"/>
      <c r="I3" s="95"/>
      <c r="J3" s="95"/>
      <c r="K3" s="102"/>
    </row>
    <row r="4" s="91" customFormat="1" ht="84" customHeight="1" spans="1:11">
      <c r="A4" s="101"/>
      <c r="B4" s="103" t="s">
        <v>1</v>
      </c>
      <c r="C4" s="104"/>
      <c r="D4" s="104"/>
      <c r="E4" s="104"/>
      <c r="F4" s="104"/>
      <c r="G4" s="104"/>
      <c r="H4" s="104"/>
      <c r="I4" s="104"/>
      <c r="J4" s="105"/>
      <c r="K4" s="106"/>
    </row>
    <row r="5" s="91" customFormat="1" ht="7" customHeight="1" spans="1:11">
      <c r="A5" s="101"/>
      <c r="B5" s="107"/>
      <c r="C5" s="107"/>
      <c r="D5" s="108"/>
      <c r="E5" s="109"/>
      <c r="F5" s="109"/>
      <c r="G5" s="109"/>
      <c r="H5" s="109"/>
      <c r="I5" s="109"/>
      <c r="J5" s="109"/>
      <c r="K5" s="102"/>
    </row>
    <row r="6" s="92" customFormat="1" ht="32" customHeight="1" spans="1:11">
      <c r="A6" s="110"/>
      <c r="B6" s="111" t="s">
        <v>2</v>
      </c>
      <c r="C6" s="111"/>
      <c r="D6" s="111" t="s">
        <v>30</v>
      </c>
      <c r="E6" s="112"/>
      <c r="F6" s="112"/>
      <c r="G6" s="113" t="s">
        <v>4</v>
      </c>
      <c r="H6" s="113"/>
      <c r="I6" s="111" t="s">
        <v>3</v>
      </c>
      <c r="J6" s="112"/>
      <c r="K6" s="114"/>
    </row>
    <row r="7" s="92" customFormat="1" ht="32" customHeight="1" spans="1:11">
      <c r="A7" s="110"/>
      <c r="B7" s="111" t="s">
        <v>5</v>
      </c>
      <c r="C7" s="111"/>
      <c r="D7" s="111" t="s">
        <v>6</v>
      </c>
      <c r="E7" s="112"/>
      <c r="F7" s="112"/>
      <c r="G7" s="113" t="s">
        <v>7</v>
      </c>
      <c r="H7" s="113"/>
      <c r="I7" s="111" t="s">
        <v>3</v>
      </c>
      <c r="J7" s="112"/>
      <c r="K7" s="114"/>
    </row>
    <row r="8" s="92" customFormat="1" ht="32" customHeight="1" spans="1:11">
      <c r="A8" s="110"/>
      <c r="B8" s="111" t="s">
        <v>8</v>
      </c>
      <c r="C8" s="111"/>
      <c r="D8" s="111" t="s">
        <v>6</v>
      </c>
      <c r="E8" s="112"/>
      <c r="F8" s="112"/>
      <c r="G8" s="113" t="s">
        <v>9</v>
      </c>
      <c r="H8" s="113"/>
      <c r="I8" s="111" t="s">
        <v>3</v>
      </c>
      <c r="J8" s="112"/>
      <c r="K8" s="114"/>
    </row>
    <row r="9" s="92" customFormat="1" ht="32" customHeight="1" spans="1:11">
      <c r="A9" s="110"/>
      <c r="B9" s="111" t="s">
        <v>10</v>
      </c>
      <c r="C9" s="111"/>
      <c r="D9" s="111" t="s">
        <v>6</v>
      </c>
      <c r="E9" s="115"/>
      <c r="F9" s="115"/>
      <c r="G9" s="113"/>
      <c r="H9" s="113"/>
      <c r="I9" s="111"/>
      <c r="J9" s="115"/>
      <c r="K9" s="114"/>
    </row>
    <row r="10" s="93" customFormat="1" ht="32" customHeight="1" spans="1:11">
      <c r="A10" s="116"/>
      <c r="K10" s="117"/>
    </row>
    <row r="11" s="93" customFormat="1" ht="32" customHeight="1" spans="1:11">
      <c r="A11" s="116"/>
      <c r="B11" s="118" t="s">
        <v>11</v>
      </c>
      <c r="C11" s="119" t="s">
        <v>12</v>
      </c>
      <c r="D11" s="118" t="s">
        <v>13</v>
      </c>
      <c r="E11" s="118" t="s">
        <v>14</v>
      </c>
      <c r="F11" s="118" t="s">
        <v>15</v>
      </c>
      <c r="G11" s="118" t="s">
        <v>16</v>
      </c>
      <c r="H11" s="118" t="s">
        <v>17</v>
      </c>
      <c r="I11" s="118" t="s">
        <v>18</v>
      </c>
      <c r="J11" s="118" t="s">
        <v>19</v>
      </c>
      <c r="K11" s="117"/>
    </row>
    <row r="12" s="93" customFormat="1" ht="32" customHeight="1" spans="1:11">
      <c r="A12" s="116"/>
      <c r="B12" s="118"/>
      <c r="C12" s="119"/>
      <c r="D12" s="118"/>
      <c r="E12" s="118"/>
      <c r="F12" s="118"/>
      <c r="G12" s="118"/>
      <c r="H12" s="118"/>
      <c r="I12" s="118"/>
      <c r="J12" s="118"/>
      <c r="K12" s="117"/>
    </row>
    <row r="13" s="94" customFormat="1" ht="54" customHeight="1" spans="1:11">
      <c r="A13" s="120"/>
      <c r="B13" s="121">
        <v>1</v>
      </c>
      <c r="C13" s="122" t="s">
        <v>31</v>
      </c>
      <c r="D13" s="121" t="s">
        <v>32</v>
      </c>
      <c r="E13" s="122" t="s">
        <v>33</v>
      </c>
      <c r="F13" s="122">
        <v>10</v>
      </c>
      <c r="G13" s="122"/>
      <c r="H13" s="122">
        <v>14</v>
      </c>
      <c r="I13" s="122">
        <v>20</v>
      </c>
      <c r="J13" s="123">
        <f>H13/I13*F13</f>
        <v>7</v>
      </c>
      <c r="K13" s="124"/>
    </row>
    <row r="14" s="94" customFormat="1" ht="32" customHeight="1" spans="1:11">
      <c r="A14" s="120"/>
      <c r="B14" s="121"/>
      <c r="C14" s="121"/>
      <c r="D14" s="121"/>
      <c r="E14" s="122" t="s">
        <v>34</v>
      </c>
      <c r="F14" s="122">
        <v>10</v>
      </c>
      <c r="G14" s="122"/>
      <c r="H14" s="122">
        <v>0</v>
      </c>
      <c r="I14" s="122">
        <v>3</v>
      </c>
      <c r="J14" s="123">
        <f>10-(I14/100*F14)</f>
        <v>9.7</v>
      </c>
      <c r="K14" s="124"/>
    </row>
    <row r="15" s="94" customFormat="1" ht="32" customHeight="1" spans="1:11">
      <c r="A15" s="120"/>
      <c r="B15" s="121"/>
      <c r="C15" s="121"/>
      <c r="D15" s="121"/>
      <c r="E15" s="121"/>
      <c r="F15" s="121"/>
      <c r="G15" s="121"/>
      <c r="H15" s="121"/>
      <c r="I15" s="121"/>
      <c r="J15" s="123"/>
      <c r="K15" s="124"/>
    </row>
    <row r="16" s="94" customFormat="1" ht="32" customHeight="1" spans="1:11">
      <c r="A16" s="120"/>
      <c r="B16" s="121"/>
      <c r="C16" s="121"/>
      <c r="D16" s="121"/>
      <c r="E16" s="121"/>
      <c r="F16" s="121"/>
      <c r="G16" s="121"/>
      <c r="H16" s="121"/>
      <c r="I16" s="121"/>
      <c r="J16" s="123"/>
      <c r="K16" s="124"/>
    </row>
    <row r="17" s="94" customFormat="1" ht="32" customHeight="1" spans="1:11">
      <c r="A17" s="120"/>
      <c r="B17" s="121"/>
      <c r="C17" s="121"/>
      <c r="D17" s="121"/>
      <c r="E17" s="121"/>
      <c r="F17" s="121"/>
      <c r="G17" s="121"/>
      <c r="H17" s="121"/>
      <c r="I17" s="121"/>
      <c r="J17" s="123"/>
      <c r="K17" s="124"/>
    </row>
    <row r="18" s="94" customFormat="1" ht="32" customHeight="1" spans="1:11">
      <c r="A18" s="120"/>
      <c r="B18" s="121"/>
      <c r="C18" s="121"/>
      <c r="D18" s="121"/>
      <c r="E18" s="121"/>
      <c r="F18" s="121"/>
      <c r="G18" s="121"/>
      <c r="H18" s="121"/>
      <c r="I18" s="121"/>
      <c r="J18" s="123"/>
      <c r="K18" s="124"/>
    </row>
    <row r="19" s="94" customFormat="1" ht="32" customHeight="1" spans="1:11">
      <c r="A19" s="120"/>
      <c r="B19" s="121"/>
      <c r="C19" s="121"/>
      <c r="D19" s="121"/>
      <c r="E19" s="121"/>
      <c r="F19" s="121"/>
      <c r="G19" s="121"/>
      <c r="H19" s="121"/>
      <c r="I19" s="121"/>
      <c r="J19" s="123"/>
      <c r="K19" s="124"/>
    </row>
    <row r="20" s="94" customFormat="1" ht="32" customHeight="1" spans="1:11">
      <c r="A20" s="120"/>
      <c r="B20" s="121"/>
      <c r="C20" s="121"/>
      <c r="D20" s="121"/>
      <c r="E20" s="121"/>
      <c r="F20" s="121"/>
      <c r="G20" s="121"/>
      <c r="H20" s="121"/>
      <c r="I20" s="121"/>
      <c r="J20" s="123"/>
      <c r="K20" s="124"/>
    </row>
    <row r="21" s="94" customFormat="1" ht="32" customHeight="1" spans="1:11">
      <c r="A21" s="120"/>
      <c r="B21" s="121"/>
      <c r="C21" s="121"/>
      <c r="D21" s="121"/>
      <c r="E21" s="121"/>
      <c r="F21" s="121"/>
      <c r="G21" s="121"/>
      <c r="H21" s="121"/>
      <c r="I21" s="121"/>
      <c r="J21" s="123"/>
      <c r="K21" s="124"/>
    </row>
    <row r="22" s="94" customFormat="1" ht="32" customHeight="1" spans="1:11">
      <c r="A22" s="120"/>
      <c r="B22" s="121"/>
      <c r="C22" s="121"/>
      <c r="D22" s="121"/>
      <c r="E22" s="121"/>
      <c r="F22" s="121"/>
      <c r="G22" s="121"/>
      <c r="H22" s="121"/>
      <c r="I22" s="121"/>
      <c r="J22" s="123"/>
      <c r="K22" s="124"/>
    </row>
    <row r="23" s="94" customFormat="1" ht="32" customHeight="1" spans="1:11">
      <c r="A23" s="120"/>
      <c r="B23" s="121"/>
      <c r="C23" s="121"/>
      <c r="D23" s="121"/>
      <c r="E23" s="121"/>
      <c r="F23" s="121"/>
      <c r="G23" s="121"/>
      <c r="H23" s="121"/>
      <c r="I23" s="121"/>
      <c r="J23" s="123"/>
      <c r="K23" s="124"/>
    </row>
    <row r="24" s="94" customFormat="1" ht="32" customHeight="1" spans="1:11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24"/>
    </row>
    <row r="25" s="94" customFormat="1" ht="32" customHeight="1" spans="1:11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4"/>
    </row>
    <row r="26" s="94" customFormat="1" ht="32" customHeight="1" spans="1:11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4"/>
    </row>
    <row r="27" s="94" customFormat="1" ht="32" customHeight="1" spans="1:11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4"/>
    </row>
    <row r="28" s="94" customFormat="1" ht="32" customHeight="1" spans="1:11">
      <c r="A28" s="120"/>
      <c r="B28" s="121"/>
      <c r="C28" s="121"/>
      <c r="D28" s="121"/>
      <c r="E28" s="121"/>
      <c r="F28" s="121"/>
      <c r="G28" s="121"/>
      <c r="H28" s="121"/>
      <c r="I28" s="121"/>
      <c r="J28" s="121"/>
      <c r="K28" s="124"/>
    </row>
    <row r="29" s="94" customFormat="1" ht="32" customHeight="1" spans="1:11">
      <c r="A29" s="120"/>
      <c r="B29" s="121"/>
      <c r="C29" s="121"/>
      <c r="D29" s="121"/>
      <c r="E29" s="121"/>
      <c r="F29" s="121"/>
      <c r="G29" s="121"/>
      <c r="H29" s="121"/>
      <c r="I29" s="121"/>
      <c r="J29" s="121"/>
      <c r="K29" s="124"/>
    </row>
    <row r="30" s="94" customFormat="1" ht="32" customHeight="1" spans="1:11">
      <c r="A30" s="120"/>
      <c r="B30" s="121"/>
      <c r="C30" s="121"/>
      <c r="D30" s="121"/>
      <c r="E30" s="121"/>
      <c r="F30" s="121"/>
      <c r="G30" s="121"/>
      <c r="H30" s="121"/>
      <c r="I30" s="121"/>
      <c r="J30" s="121"/>
      <c r="K30" s="124"/>
    </row>
    <row r="31" s="94" customFormat="1" ht="32" customHeight="1" spans="1:11">
      <c r="A31" s="120"/>
      <c r="B31" s="121"/>
      <c r="C31" s="121"/>
      <c r="D31" s="121"/>
      <c r="E31" s="121"/>
      <c r="F31" s="121"/>
      <c r="G31" s="121"/>
      <c r="H31" s="121"/>
      <c r="I31" s="121"/>
      <c r="J31" s="121"/>
      <c r="K31" s="124"/>
    </row>
    <row r="32" s="94" customFormat="1" ht="32" customHeight="1" spans="1:1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4"/>
    </row>
    <row r="33" s="94" customFormat="1" ht="32" customHeight="1" spans="1:11">
      <c r="A33" s="120"/>
      <c r="B33" s="121"/>
      <c r="C33" s="121"/>
      <c r="D33" s="121"/>
      <c r="E33" s="121"/>
      <c r="F33" s="125"/>
      <c r="G33" s="121"/>
      <c r="H33" s="121"/>
      <c r="I33" s="121"/>
      <c r="J33" s="121"/>
      <c r="K33" s="124"/>
    </row>
    <row r="34" s="94" customFormat="1" ht="32" customHeight="1" spans="1:11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4"/>
    </row>
    <row r="35" s="93" customFormat="1" ht="32" customHeight="1" spans="1:11">
      <c r="A35" s="116"/>
      <c r="B35" s="126" t="s">
        <v>20</v>
      </c>
      <c r="C35" s="126"/>
      <c r="D35" s="126"/>
      <c r="E35" s="127"/>
      <c r="F35" s="127"/>
      <c r="G35" s="127"/>
      <c r="H35" s="128"/>
      <c r="I35" s="129"/>
      <c r="J35" s="130"/>
      <c r="K35" s="117"/>
    </row>
    <row r="36" s="93" customFormat="1" ht="32" customHeight="1" spans="1:11">
      <c r="A36" s="116"/>
      <c r="K36" s="117"/>
    </row>
    <row r="37" s="93" customFormat="1" ht="32" customHeight="1" spans="1:11">
      <c r="A37" s="116"/>
      <c r="K37" s="117"/>
    </row>
    <row r="38" s="93" customFormat="1" ht="32" customHeight="1" spans="1:11">
      <c r="A38" s="116"/>
      <c r="C38" s="131"/>
      <c r="D38" s="132"/>
      <c r="E38" s="133"/>
      <c r="F38" s="133"/>
      <c r="G38" s="134"/>
      <c r="H38" s="134"/>
      <c r="I38" s="134"/>
      <c r="J38" s="134"/>
      <c r="K38" s="117"/>
    </row>
    <row r="39" s="93" customFormat="1" ht="32" customHeight="1" spans="1:11">
      <c r="A39" s="116"/>
      <c r="C39" s="135"/>
      <c r="D39" s="132"/>
      <c r="E39" s="136"/>
      <c r="F39" s="136"/>
      <c r="G39" s="136"/>
      <c r="H39" s="135"/>
      <c r="I39" s="135"/>
      <c r="J39" s="135"/>
      <c r="K39" s="117"/>
    </row>
    <row r="40" s="93" customFormat="1" ht="32" customHeight="1" spans="1:11">
      <c r="A40" s="116"/>
      <c r="C40" s="137"/>
      <c r="D40" s="132"/>
      <c r="E40" s="137"/>
      <c r="F40" s="137"/>
      <c r="G40" s="137"/>
      <c r="H40" s="137"/>
      <c r="I40" s="137"/>
      <c r="J40" s="138"/>
      <c r="K40" s="117"/>
    </row>
    <row r="41" s="93" customFormat="1" ht="32" customHeight="1" spans="1:11">
      <c r="A41" s="116"/>
      <c r="C41" s="137"/>
      <c r="D41" s="132"/>
      <c r="E41" s="137"/>
      <c r="F41" s="137"/>
      <c r="G41" s="137"/>
      <c r="H41" s="137"/>
      <c r="I41" s="137"/>
      <c r="J41" s="138"/>
      <c r="K41" s="117"/>
    </row>
    <row r="42" s="93" customFormat="1" ht="32" customHeight="1" spans="1:11">
      <c r="A42" s="116"/>
      <c r="C42" s="137"/>
      <c r="D42" s="132"/>
      <c r="E42" s="137"/>
      <c r="F42" s="137"/>
      <c r="G42" s="137"/>
      <c r="H42" s="137"/>
      <c r="I42" s="137"/>
      <c r="J42" s="138"/>
      <c r="K42" s="117"/>
    </row>
    <row r="43" s="93" customFormat="1" ht="32" customHeight="1" spans="1:11">
      <c r="A43" s="116"/>
      <c r="C43" s="135"/>
      <c r="D43" s="132"/>
      <c r="E43" s="137"/>
      <c r="F43" s="137"/>
      <c r="G43" s="137"/>
      <c r="H43" s="139"/>
      <c r="I43" s="139"/>
      <c r="J43" s="139"/>
      <c r="K43" s="117"/>
    </row>
    <row r="44" s="93" customFormat="1" ht="32" customHeight="1" spans="1:11">
      <c r="A44" s="116"/>
      <c r="C44" s="135"/>
      <c r="D44" s="132"/>
      <c r="E44" s="135"/>
      <c r="F44" s="135"/>
      <c r="G44" s="135"/>
      <c r="H44" s="135"/>
      <c r="I44" s="135"/>
      <c r="J44" s="135"/>
      <c r="K44" s="117"/>
    </row>
    <row r="45" s="93" customFormat="1" ht="32" customHeight="1" spans="1:11">
      <c r="A45" s="116"/>
      <c r="C45" s="132"/>
      <c r="D45" s="132"/>
      <c r="E45" s="132"/>
      <c r="F45" s="132"/>
      <c r="G45" s="132"/>
      <c r="H45" s="132"/>
      <c r="I45" s="132"/>
      <c r="J45" s="132"/>
      <c r="K45" s="117"/>
    </row>
    <row r="46" s="93" customFormat="1" ht="32" customHeight="1" spans="1:11">
      <c r="A46" s="116"/>
      <c r="G46" s="132"/>
      <c r="H46" s="132"/>
      <c r="I46" s="132"/>
      <c r="J46" s="132"/>
      <c r="K46" s="117"/>
    </row>
    <row r="47" s="93" customFormat="1" ht="32" customHeight="1" spans="1:11">
      <c r="A47" s="116"/>
      <c r="G47" s="132"/>
      <c r="H47" s="132"/>
      <c r="I47" s="132"/>
      <c r="J47" s="132"/>
      <c r="K47" s="117"/>
    </row>
    <row r="48" s="93" customFormat="1" ht="32" customHeight="1" spans="1:11">
      <c r="A48" s="116"/>
      <c r="G48" s="132"/>
      <c r="H48" s="132"/>
      <c r="I48" s="132"/>
      <c r="J48" s="132"/>
      <c r="K48" s="117"/>
    </row>
    <row r="49" s="93" customFormat="1" ht="32" customHeight="1" spans="1:29">
      <c r="A49" s="140"/>
      <c r="B49" s="141"/>
      <c r="C49" s="141"/>
      <c r="D49" s="141"/>
      <c r="E49" s="141"/>
      <c r="F49" s="141"/>
      <c r="G49" s="141"/>
      <c r="H49" s="141"/>
      <c r="I49" s="141"/>
      <c r="J49" s="141"/>
      <c r="K49" s="142"/>
    </row>
    <row r="63" ht="26" customHeight="1" spans="1:29">
      <c r="Z63" s="143" t="s">
        <v>21</v>
      </c>
      <c r="AA63" s="143" t="s">
        <v>22</v>
      </c>
      <c r="AB63" s="143" t="s">
        <v>23</v>
      </c>
      <c r="AC63" s="144"/>
    </row>
    <row r="64" ht="26" customHeight="1" spans="1:29">
      <c r="Z64" s="145"/>
      <c r="AA64" s="145"/>
      <c r="AB64" s="145"/>
      <c r="AC64" s="144"/>
    </row>
    <row r="65" ht="48" customHeight="1" spans="26:29">
      <c r="Z65" s="146"/>
      <c r="AA65" s="146"/>
      <c r="AB65" s="146"/>
      <c r="AC65" s="144"/>
    </row>
    <row r="66" ht="26" customHeight="1" spans="26:29">
      <c r="Z66" s="147"/>
      <c r="AA66" s="147"/>
      <c r="AB66" s="147"/>
      <c r="AC66" s="144"/>
    </row>
    <row r="67" ht="26" customHeight="1" spans="26:29">
      <c r="Z67" s="143" t="s">
        <v>24</v>
      </c>
      <c r="AA67" s="143" t="s">
        <v>25</v>
      </c>
      <c r="AB67" s="143" t="s">
        <v>26</v>
      </c>
      <c r="AC67" s="144"/>
    </row>
    <row r="68" ht="26" customHeight="1" spans="26:29">
      <c r="Z68" s="143" t="s">
        <v>27</v>
      </c>
      <c r="AA68" s="143" t="s">
        <v>28</v>
      </c>
      <c r="AB68" s="143" t="s">
        <v>29</v>
      </c>
      <c r="AC68" s="144"/>
    </row>
  </sheetData>
  <mergeCells count="27">
    <mergeCell ref="I1:K1"/>
    <mergeCell ref="B4:J4"/>
    <mergeCell ref="B5:C5"/>
    <mergeCell ref="B6:C6"/>
    <mergeCell ref="G6:H6"/>
    <mergeCell ref="B7:C7"/>
    <mergeCell ref="G7:H7"/>
    <mergeCell ref="B8:C8"/>
    <mergeCell ref="G8:H8"/>
    <mergeCell ref="B9:C9"/>
    <mergeCell ref="G9:H9"/>
    <mergeCell ref="B35:D35"/>
    <mergeCell ref="H39:I39"/>
    <mergeCell ref="E44:F44"/>
    <mergeCell ref="H44:I44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Z64:Z66"/>
    <mergeCell ref="AA64:AA66"/>
    <mergeCell ref="AB64:AB66"/>
  </mergeCells>
  <printOptions horizontalCentered="1"/>
  <pageMargins left="0.2" right="0" top="0.469444444444444" bottom="0.279861111111111" header="0" footer="0.3"/>
  <pageSetup paperSize="9" scale="35" fitToWidth="0" orientation="landscape" horizontalDpi="600"/>
  <headerFooter/>
  <colBreaks count="1" manualBreakCount="1">
    <brk id="1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30"/>
    <pageSetUpPr fitToPage="1"/>
  </sheetPr>
  <dimension ref="A1:AS93"/>
  <sheetViews>
    <sheetView view="pageBreakPreview" zoomScale="44" zoomScaleNormal="55" topLeftCell="A61" workbookViewId="0">
      <selection activeCell="O87" sqref="O87"/>
    </sheetView>
  </sheetViews>
  <sheetFormatPr defaultColWidth="10.2857142857143" defaultRowHeight="15"/>
  <cols>
    <col min="1" max="1" width="5.2952380952381" style="2" customWidth="1"/>
    <col min="2" max="2" width="7.28571428571429" style="2" customWidth="1"/>
    <col min="3" max="3" width="24.6761904761905" style="2" customWidth="1"/>
    <col min="4" max="4" width="10.2857142857143" style="2" customWidth="1"/>
    <col min="5" max="5" width="13.5714285714286" style="2" customWidth="1"/>
    <col min="6" max="6" width="14.2857142857143" style="2" customWidth="1"/>
    <col min="7" max="7" width="20.7714285714286" style="2" customWidth="1"/>
    <col min="8" max="8" width="10.2857142857143" style="2" customWidth="1"/>
    <col min="9" max="9" width="19.8571428571429" style="2" customWidth="1"/>
    <col min="10" max="12" width="15.2857142857143" style="2" customWidth="1"/>
    <col min="13" max="17" width="3.57142857142857" style="2" customWidth="1"/>
    <col min="18" max="18" width="7.14285714285714" style="2" customWidth="1"/>
    <col min="19" max="21" width="20.7142857142857" style="2" customWidth="1"/>
    <col min="22" max="22" width="2.85714285714286" style="2" customWidth="1"/>
    <col min="23" max="23" width="10.2857142857143" style="2" customWidth="1"/>
    <col min="24" max="24" width="14" style="2" customWidth="1"/>
    <col min="25" max="25" width="14.8571428571429" style="2"/>
    <col min="26" max="36" width="11.5714285714286" style="2" customWidth="1"/>
    <col min="37" max="37" width="12.3809523809524" style="2" customWidth="1"/>
    <col min="38" max="16384" width="10.2857142857143" style="2"/>
  </cols>
  <sheetData>
    <row r="1" ht="25" customHeight="1" spans="1:37">
      <c r="S1" s="3" t="s">
        <v>35</v>
      </c>
      <c r="T1" s="4"/>
      <c r="U1" s="4"/>
      <c r="V1" s="5"/>
    </row>
    <row r="2" ht="46" customHeight="1" spans="1:37">
      <c r="A2" s="6" t="s">
        <v>36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ht="46" customHeight="1" spans="1:37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="1" customFormat="1" ht="33" customHeight="1" spans="1:37">
      <c r="A4" s="12"/>
      <c r="C4" s="13" t="s">
        <v>37</v>
      </c>
      <c r="D4" s="13" t="e">
        <f>'Form Kosong'!#REF!</f>
        <v>#REF!</v>
      </c>
      <c r="E4" s="14"/>
      <c r="F4" s="14"/>
      <c r="G4" s="15" t="s">
        <v>38</v>
      </c>
      <c r="H4" s="13" t="str">
        <f>'Form Kosong'!D6</f>
        <v>: </v>
      </c>
      <c r="I4" s="14"/>
      <c r="J4" s="14"/>
      <c r="U4" s="16"/>
      <c r="V4" s="17"/>
    </row>
    <row r="5" s="1" customFormat="1" ht="33" customHeight="1" spans="1:37">
      <c r="A5" s="12"/>
      <c r="C5" s="13" t="s">
        <v>39</v>
      </c>
      <c r="D5" s="13" t="str">
        <f>'Form Kosong'!D9</f>
        <v>: </v>
      </c>
      <c r="E5" s="14"/>
      <c r="F5" s="14"/>
      <c r="G5" s="14"/>
      <c r="H5" s="14"/>
      <c r="I5" s="14"/>
      <c r="J5" s="14"/>
      <c r="U5" s="16"/>
      <c r="V5" s="17"/>
    </row>
    <row r="6" s="1" customFormat="1" ht="33" customHeight="1" spans="1:37">
      <c r="A6" s="12"/>
      <c r="C6" s="13" t="s">
        <v>9</v>
      </c>
      <c r="D6" s="13">
        <f>'Form Kosong'!I9</f>
        <v>0</v>
      </c>
      <c r="E6" s="13"/>
      <c r="F6" s="14"/>
      <c r="G6" s="14"/>
      <c r="H6" s="14"/>
      <c r="I6" s="14"/>
      <c r="J6" s="14"/>
      <c r="U6" s="16"/>
      <c r="V6" s="17"/>
    </row>
    <row r="7" ht="19.5" customHeight="1" spans="1:37">
      <c r="A7" s="18"/>
      <c r="U7" s="19"/>
      <c r="V7" s="20"/>
      <c r="X7" s="21" t="s">
        <v>40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 ht="21.75" customHeight="1" spans="1:37">
      <c r="A8" s="18"/>
      <c r="B8" s="22" t="s">
        <v>41</v>
      </c>
      <c r="C8" s="23"/>
      <c r="D8" s="23"/>
      <c r="E8" s="23"/>
      <c r="F8" s="23"/>
      <c r="G8" s="23"/>
      <c r="H8" s="23"/>
      <c r="I8" s="24"/>
      <c r="J8" s="25" t="s">
        <v>42</v>
      </c>
      <c r="K8" s="26"/>
      <c r="L8" s="26"/>
      <c r="M8" s="26"/>
      <c r="N8" s="26"/>
      <c r="O8" s="26"/>
      <c r="P8" s="27"/>
      <c r="Q8" s="27"/>
      <c r="R8" s="27"/>
      <c r="S8" s="27"/>
      <c r="T8" s="27"/>
      <c r="U8" s="28"/>
      <c r="V8" s="20"/>
    </row>
    <row r="9" ht="21.75" customHeight="1" spans="1:37">
      <c r="A9" s="18"/>
      <c r="B9" s="29" t="str">
        <f>X7</f>
        <v>input data untuk sourc e grafik</v>
      </c>
      <c r="C9" s="30"/>
      <c r="D9" s="30"/>
      <c r="E9" s="30"/>
      <c r="F9" s="30"/>
      <c r="G9" s="30"/>
      <c r="H9" s="30"/>
      <c r="I9" s="31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4"/>
      <c r="V9" s="20"/>
      <c r="X9" s="35"/>
      <c r="Y9" s="36" t="s">
        <v>43</v>
      </c>
      <c r="Z9" s="36" t="s">
        <v>44</v>
      </c>
      <c r="AA9" s="36" t="s">
        <v>45</v>
      </c>
      <c r="AB9" s="36" t="s">
        <v>46</v>
      </c>
      <c r="AC9" s="36" t="s">
        <v>47</v>
      </c>
      <c r="AD9" s="36" t="s">
        <v>48</v>
      </c>
      <c r="AE9" s="36" t="s">
        <v>49</v>
      </c>
      <c r="AF9" s="36" t="s">
        <v>50</v>
      </c>
      <c r="AG9" s="36" t="s">
        <v>51</v>
      </c>
      <c r="AH9" s="36" t="s">
        <v>52</v>
      </c>
      <c r="AI9" s="36" t="s">
        <v>53</v>
      </c>
      <c r="AJ9" s="36" t="s">
        <v>54</v>
      </c>
      <c r="AK9" s="36" t="s">
        <v>55</v>
      </c>
    </row>
    <row r="10" ht="21.75" customHeight="1" spans="1:37">
      <c r="A10" s="18"/>
      <c r="B10" s="37"/>
      <c r="C10" s="38"/>
      <c r="D10" s="38"/>
      <c r="E10" s="38"/>
      <c r="F10" s="38"/>
      <c r="G10" s="38"/>
      <c r="H10" s="38"/>
      <c r="I10" s="39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20"/>
      <c r="X10" s="35" t="s">
        <v>17</v>
      </c>
      <c r="Y10" s="40">
        <v>28000</v>
      </c>
      <c r="Z10" s="40">
        <v>28000</v>
      </c>
      <c r="AA10" s="40">
        <v>28000</v>
      </c>
      <c r="AB10" s="40">
        <v>28000</v>
      </c>
      <c r="AC10" s="40">
        <v>23000</v>
      </c>
      <c r="AD10" s="40">
        <v>23000</v>
      </c>
      <c r="AE10" s="40">
        <v>23000</v>
      </c>
      <c r="AF10" s="40">
        <v>23000</v>
      </c>
      <c r="AG10" s="40">
        <v>18000</v>
      </c>
      <c r="AH10" s="40">
        <v>18000</v>
      </c>
      <c r="AI10" s="40">
        <v>18000</v>
      </c>
      <c r="AJ10" s="40">
        <v>18000</v>
      </c>
      <c r="AK10" s="40">
        <v>18000</v>
      </c>
    </row>
    <row r="11" ht="21.75" customHeight="1" spans="1:37">
      <c r="A11" s="18"/>
      <c r="B11" s="41"/>
      <c r="C11" s="42"/>
      <c r="D11" s="42"/>
      <c r="E11" s="42"/>
      <c r="F11" s="42"/>
      <c r="G11" s="42"/>
      <c r="H11" s="42"/>
      <c r="I11" s="43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20"/>
      <c r="X11" s="35" t="s">
        <v>18</v>
      </c>
      <c r="Y11" s="40">
        <v>27450</v>
      </c>
      <c r="Z11" s="40">
        <v>37841</v>
      </c>
      <c r="AA11" s="40">
        <v>25324</v>
      </c>
      <c r="AB11" s="40">
        <v>28424</v>
      </c>
      <c r="AC11" s="44">
        <v>23144</v>
      </c>
      <c r="AD11" s="44">
        <v>17534</v>
      </c>
      <c r="AE11" s="44"/>
      <c r="AF11" s="44"/>
      <c r="AG11" s="44"/>
      <c r="AH11" s="44"/>
      <c r="AI11" s="44"/>
      <c r="AJ11" s="44"/>
      <c r="AK11" s="44"/>
    </row>
    <row r="12" ht="21.75" customHeight="1" spans="1:37">
      <c r="A12" s="18"/>
      <c r="B12" s="45"/>
      <c r="C12" s="19"/>
      <c r="D12" s="19"/>
      <c r="E12" s="19"/>
      <c r="F12" s="19"/>
      <c r="G12" s="19"/>
      <c r="H12" s="19"/>
      <c r="I12" s="46"/>
      <c r="J12" s="47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20"/>
      <c r="X12" s="48"/>
      <c r="Y12" s="49"/>
      <c r="Z12" s="49"/>
      <c r="AA12" s="50"/>
      <c r="AB12" s="50"/>
      <c r="AC12" s="48"/>
      <c r="AD12" s="48"/>
      <c r="AE12" s="48"/>
      <c r="AF12" s="48"/>
      <c r="AG12" s="48"/>
      <c r="AH12" s="48"/>
      <c r="AI12" s="48"/>
      <c r="AJ12" s="48"/>
    </row>
    <row r="13" ht="21.75" customHeight="1" spans="1:37">
      <c r="A13" s="18"/>
      <c r="B13" s="45"/>
      <c r="C13" s="19"/>
      <c r="D13" s="19"/>
      <c r="E13" s="19"/>
      <c r="F13" s="19"/>
      <c r="G13" s="19"/>
      <c r="H13" s="19"/>
      <c r="I13" s="46"/>
      <c r="J13" s="51"/>
      <c r="K13" s="52"/>
      <c r="L13" s="19"/>
      <c r="M13" s="19"/>
      <c r="N13" s="19"/>
      <c r="O13" s="19"/>
      <c r="P13" s="19"/>
      <c r="Q13" s="19"/>
      <c r="R13" s="19"/>
      <c r="S13" s="19"/>
      <c r="T13" s="19"/>
      <c r="U13" s="53"/>
      <c r="V13" s="20"/>
    </row>
    <row r="14" ht="21.75" customHeight="1" spans="1:37">
      <c r="A14" s="18"/>
      <c r="B14" s="45"/>
      <c r="C14" s="19"/>
      <c r="D14" s="19"/>
      <c r="E14" s="19"/>
      <c r="F14" s="19"/>
      <c r="G14" s="19"/>
      <c r="H14" s="19"/>
      <c r="I14" s="46"/>
      <c r="J14" s="47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5"/>
      <c r="V14" s="20"/>
    </row>
    <row r="15" ht="21.75" customHeight="1" spans="1:37">
      <c r="A15" s="18"/>
      <c r="B15" s="45"/>
      <c r="C15" s="19"/>
      <c r="D15" s="19"/>
      <c r="E15" s="19"/>
      <c r="F15" s="19"/>
      <c r="G15" s="19"/>
      <c r="H15" s="19"/>
      <c r="I15" s="46"/>
      <c r="J15" s="47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5"/>
      <c r="V15" s="20"/>
    </row>
    <row r="16" ht="21.75" customHeight="1" spans="1:37">
      <c r="A16" s="18"/>
      <c r="B16" s="45"/>
      <c r="C16" s="19"/>
      <c r="D16" s="19"/>
      <c r="E16" s="19"/>
      <c r="F16" s="19"/>
      <c r="G16" s="19"/>
      <c r="H16" s="19"/>
      <c r="I16" s="46"/>
      <c r="J16" s="47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5"/>
      <c r="V16" s="20"/>
    </row>
    <row r="17" ht="21.75" customHeight="1" spans="1:37">
      <c r="A17" s="18"/>
      <c r="B17" s="45"/>
      <c r="C17" s="19"/>
      <c r="D17" s="19"/>
      <c r="E17" s="19"/>
      <c r="F17" s="19"/>
      <c r="G17" s="19"/>
      <c r="H17" s="19"/>
      <c r="I17" s="46"/>
      <c r="J17" s="47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5"/>
      <c r="V17" s="20"/>
    </row>
    <row r="18" ht="21.75" customHeight="1" spans="1:37">
      <c r="A18" s="18"/>
      <c r="B18" s="45"/>
      <c r="C18" s="19"/>
      <c r="D18" s="19"/>
      <c r="E18" s="19"/>
      <c r="F18" s="19"/>
      <c r="G18" s="19"/>
      <c r="H18" s="19"/>
      <c r="I18" s="46"/>
      <c r="J18" s="47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5"/>
      <c r="V18" s="20"/>
    </row>
    <row r="19" ht="21.75" customHeight="1" spans="1:37">
      <c r="A19" s="18"/>
      <c r="B19" s="45"/>
      <c r="C19" s="19"/>
      <c r="D19" s="19"/>
      <c r="E19" s="19"/>
      <c r="F19" s="19"/>
      <c r="G19" s="19"/>
      <c r="H19" s="19"/>
      <c r="I19" s="46"/>
      <c r="J19" s="47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5"/>
      <c r="V19" s="20"/>
    </row>
    <row r="20" ht="21.75" customHeight="1" spans="1:37">
      <c r="A20" s="18"/>
      <c r="B20" s="45"/>
      <c r="C20" s="19"/>
      <c r="D20" s="19"/>
      <c r="E20" s="19"/>
      <c r="F20" s="19"/>
      <c r="G20" s="19"/>
      <c r="H20" s="19"/>
      <c r="I20" s="46"/>
      <c r="J20" s="56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  <c r="V20" s="20"/>
    </row>
    <row r="21" ht="21.75" customHeight="1" spans="1:37">
      <c r="A21" s="18"/>
      <c r="B21" s="45"/>
      <c r="C21" s="19"/>
      <c r="D21" s="19"/>
      <c r="E21" s="19"/>
      <c r="F21" s="19"/>
      <c r="G21" s="19"/>
      <c r="H21" s="19"/>
      <c r="I21" s="46"/>
      <c r="J21" s="59"/>
      <c r="K21" s="60"/>
      <c r="L21" s="48"/>
      <c r="M21" s="48"/>
      <c r="N21" s="48"/>
      <c r="O21" s="48"/>
      <c r="P21" s="48"/>
      <c r="Q21" s="48"/>
      <c r="R21" s="61"/>
      <c r="S21" s="62" t="s">
        <v>56</v>
      </c>
      <c r="T21" s="63"/>
      <c r="U21" s="64" t="s">
        <v>57</v>
      </c>
      <c r="V21" s="65"/>
    </row>
    <row r="22" ht="21.75" customHeight="1" spans="1:37">
      <c r="A22" s="18"/>
      <c r="B22" s="45"/>
      <c r="C22" s="19"/>
      <c r="D22" s="19"/>
      <c r="E22" s="19"/>
      <c r="F22" s="19"/>
      <c r="G22" s="19"/>
      <c r="H22" s="19"/>
      <c r="I22" s="46"/>
      <c r="J22" s="66"/>
      <c r="K22" s="67"/>
      <c r="L22" s="54"/>
      <c r="M22" s="54"/>
      <c r="N22" s="54"/>
      <c r="O22" s="54"/>
      <c r="P22" s="54"/>
      <c r="Q22" s="54"/>
      <c r="R22" s="68"/>
      <c r="S22" s="69" t="str">
        <f>$H$4</f>
        <v>: </v>
      </c>
      <c r="T22" s="70"/>
      <c r="U22" s="71"/>
      <c r="V22" s="20"/>
    </row>
    <row r="23" ht="21.75" customHeight="1" spans="1:37">
      <c r="A23" s="18"/>
      <c r="B23" s="45"/>
      <c r="C23" s="19"/>
      <c r="D23" s="19"/>
      <c r="E23" s="19"/>
      <c r="F23" s="19"/>
      <c r="G23" s="19"/>
      <c r="H23" s="19"/>
      <c r="I23" s="46"/>
      <c r="J23" s="47"/>
      <c r="K23" s="54"/>
      <c r="L23" s="54"/>
      <c r="M23" s="54"/>
      <c r="N23" s="54"/>
      <c r="O23" s="54"/>
      <c r="P23" s="54"/>
      <c r="Q23" s="54"/>
      <c r="R23" s="68"/>
      <c r="S23" s="72"/>
      <c r="T23" s="70"/>
      <c r="U23" s="71"/>
      <c r="V23" s="20"/>
    </row>
    <row r="24" ht="21.75" customHeight="1" spans="1:37">
      <c r="A24" s="18"/>
      <c r="B24" s="45"/>
      <c r="C24" s="19"/>
      <c r="D24" s="19"/>
      <c r="E24" s="19"/>
      <c r="F24" s="19"/>
      <c r="G24" s="19"/>
      <c r="H24" s="19"/>
      <c r="I24" s="46"/>
      <c r="J24" s="47"/>
      <c r="K24" s="54"/>
      <c r="L24" s="54"/>
      <c r="M24" s="54"/>
      <c r="N24" s="54"/>
      <c r="O24" s="54"/>
      <c r="P24" s="54"/>
      <c r="Q24" s="54"/>
      <c r="R24" s="68"/>
      <c r="S24" s="72"/>
      <c r="T24" s="70"/>
      <c r="U24" s="71"/>
      <c r="V24" s="20"/>
    </row>
    <row r="25" ht="21.75" customHeight="1" spans="1:37">
      <c r="A25" s="18"/>
      <c r="B25" s="45"/>
      <c r="C25" s="19"/>
      <c r="D25" s="19"/>
      <c r="E25" s="19"/>
      <c r="F25" s="19"/>
      <c r="G25" s="19"/>
      <c r="H25" s="19"/>
      <c r="I25" s="46"/>
      <c r="J25" s="47"/>
      <c r="K25" s="54"/>
      <c r="L25" s="54"/>
      <c r="M25" s="54"/>
      <c r="N25" s="54"/>
      <c r="O25" s="54"/>
      <c r="P25" s="54"/>
      <c r="Q25" s="54"/>
      <c r="R25" s="68"/>
      <c r="S25" s="72"/>
      <c r="T25" s="70"/>
      <c r="U25" s="71"/>
      <c r="V25" s="20"/>
    </row>
    <row r="26" ht="21.75" customHeight="1" spans="1:37">
      <c r="A26" s="18"/>
      <c r="B26" s="45"/>
      <c r="C26" s="19"/>
      <c r="D26" s="19"/>
      <c r="E26" s="19"/>
      <c r="F26" s="19"/>
      <c r="G26" s="19"/>
      <c r="H26" s="19"/>
      <c r="I26" s="46"/>
      <c r="J26" s="47"/>
      <c r="K26" s="54"/>
      <c r="L26" s="54"/>
      <c r="M26" s="54"/>
      <c r="N26" s="54"/>
      <c r="O26" s="54"/>
      <c r="P26" s="54"/>
      <c r="Q26" s="54"/>
      <c r="R26" s="68"/>
      <c r="S26" s="72"/>
      <c r="T26" s="70"/>
      <c r="U26" s="71"/>
      <c r="V26" s="20"/>
    </row>
    <row r="27" ht="21.75" customHeight="1" spans="1:37">
      <c r="A27" s="18"/>
      <c r="B27" s="45"/>
      <c r="C27" s="19"/>
      <c r="D27" s="19"/>
      <c r="E27" s="19"/>
      <c r="F27" s="19"/>
      <c r="G27" s="19"/>
      <c r="H27" s="19"/>
      <c r="I27" s="46"/>
      <c r="J27" s="47"/>
      <c r="K27" s="54"/>
      <c r="L27" s="54"/>
      <c r="M27" s="54"/>
      <c r="N27" s="54"/>
      <c r="O27" s="54"/>
      <c r="P27" s="54"/>
      <c r="Q27" s="54"/>
      <c r="R27" s="68"/>
      <c r="S27" s="72"/>
      <c r="T27" s="70"/>
      <c r="U27" s="71"/>
      <c r="V27" s="20"/>
    </row>
    <row r="28" ht="21.75" customHeight="1" spans="1:37">
      <c r="A28" s="18"/>
      <c r="B28" s="73"/>
      <c r="C28" s="74"/>
      <c r="D28" s="74"/>
      <c r="E28" s="74"/>
      <c r="F28" s="74"/>
      <c r="G28" s="74"/>
      <c r="H28" s="74"/>
      <c r="I28" s="75"/>
      <c r="J28" s="76"/>
      <c r="K28" s="77"/>
      <c r="L28" s="77"/>
      <c r="M28" s="77"/>
      <c r="N28" s="77"/>
      <c r="O28" s="77"/>
      <c r="P28" s="77"/>
      <c r="Q28" s="77"/>
      <c r="R28" s="78"/>
      <c r="S28" s="79"/>
      <c r="T28" s="80"/>
      <c r="U28" s="81"/>
      <c r="V28" s="20"/>
      <c r="X28" s="21" t="s">
        <v>40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ht="21.75" customHeight="1" spans="1:37">
      <c r="A29" s="18"/>
      <c r="B29" s="22" t="s">
        <v>41</v>
      </c>
      <c r="C29" s="23"/>
      <c r="D29" s="23"/>
      <c r="E29" s="23"/>
      <c r="F29" s="23"/>
      <c r="G29" s="23"/>
      <c r="H29" s="23"/>
      <c r="I29" s="24"/>
      <c r="J29" s="25" t="s">
        <v>42</v>
      </c>
      <c r="K29" s="26"/>
      <c r="L29" s="26"/>
      <c r="M29" s="26"/>
      <c r="N29" s="26"/>
      <c r="O29" s="26"/>
      <c r="P29" s="27"/>
      <c r="Q29" s="27"/>
      <c r="R29" s="27"/>
      <c r="S29" s="27"/>
      <c r="T29" s="27"/>
      <c r="U29" s="28"/>
      <c r="V29" s="20"/>
    </row>
    <row r="30" ht="21.75" customHeight="1" spans="1:37">
      <c r="A30" s="18"/>
      <c r="B30" s="29" t="str">
        <f>X28</f>
        <v>input data untuk sourc e grafik</v>
      </c>
      <c r="C30" s="30"/>
      <c r="D30" s="30"/>
      <c r="E30" s="30"/>
      <c r="F30" s="30"/>
      <c r="G30" s="30"/>
      <c r="H30" s="30"/>
      <c r="I30" s="31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/>
      <c r="V30" s="20"/>
      <c r="X30" s="35"/>
      <c r="Y30" s="36" t="s">
        <v>43</v>
      </c>
      <c r="Z30" s="36" t="s">
        <v>44</v>
      </c>
      <c r="AA30" s="36" t="s">
        <v>45</v>
      </c>
      <c r="AB30" s="36" t="s">
        <v>46</v>
      </c>
      <c r="AC30" s="36" t="s">
        <v>47</v>
      </c>
      <c r="AD30" s="36" t="s">
        <v>48</v>
      </c>
      <c r="AE30" s="36" t="s">
        <v>49</v>
      </c>
      <c r="AF30" s="36" t="s">
        <v>58</v>
      </c>
      <c r="AG30" s="36" t="s">
        <v>51</v>
      </c>
      <c r="AH30" s="36" t="s">
        <v>52</v>
      </c>
      <c r="AI30" s="36" t="s">
        <v>59</v>
      </c>
      <c r="AJ30" s="36" t="s">
        <v>54</v>
      </c>
      <c r="AK30" s="36" t="s">
        <v>55</v>
      </c>
    </row>
    <row r="31" ht="21.75" customHeight="1" spans="1:37">
      <c r="A31" s="18"/>
      <c r="B31" s="37"/>
      <c r="C31" s="38"/>
      <c r="D31" s="38"/>
      <c r="E31" s="38"/>
      <c r="F31" s="38"/>
      <c r="G31" s="38"/>
      <c r="H31" s="38"/>
      <c r="I31" s="39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4"/>
      <c r="V31" s="20"/>
      <c r="X31" s="35" t="s">
        <v>17</v>
      </c>
      <c r="Y31" s="82"/>
      <c r="Z31" s="40"/>
      <c r="AA31" s="40"/>
      <c r="AB31" s="40"/>
      <c r="AC31" s="44"/>
      <c r="AD31" s="44"/>
      <c r="AE31" s="44"/>
      <c r="AF31" s="44"/>
      <c r="AG31" s="44"/>
      <c r="AH31" s="44"/>
      <c r="AI31" s="83"/>
      <c r="AJ31" s="83"/>
      <c r="AK31" s="44" t="e">
        <f>+AVERAGE(Y31:AJ31)</f>
        <v>#DIV/0!</v>
      </c>
    </row>
    <row r="32" ht="21.75" customHeight="1" spans="1:37">
      <c r="A32" s="18"/>
      <c r="B32" s="41"/>
      <c r="C32" s="42"/>
      <c r="D32" s="42"/>
      <c r="E32" s="42"/>
      <c r="F32" s="42"/>
      <c r="G32" s="42"/>
      <c r="H32" s="42"/>
      <c r="I32" s="43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/>
      <c r="V32" s="20"/>
      <c r="X32" s="35" t="s">
        <v>18</v>
      </c>
      <c r="Y32" s="82"/>
      <c r="Z32" s="40"/>
      <c r="AA32" s="40"/>
      <c r="AB32" s="40"/>
      <c r="AC32" s="44"/>
      <c r="AD32" s="44"/>
      <c r="AE32" s="44"/>
      <c r="AF32" s="44"/>
      <c r="AG32" s="44"/>
      <c r="AH32" s="44"/>
      <c r="AI32" s="83"/>
      <c r="AJ32" s="83"/>
      <c r="AK32" s="44" t="e">
        <f>+AVERAGE(Y32:AJ32)</f>
        <v>#DIV/0!</v>
      </c>
    </row>
    <row r="33" ht="21.75" customHeight="1" spans="1:36">
      <c r="A33" s="18"/>
      <c r="B33" s="45"/>
      <c r="C33" s="19"/>
      <c r="D33" s="19"/>
      <c r="E33" s="19"/>
      <c r="F33" s="19"/>
      <c r="G33" s="19"/>
      <c r="H33" s="19"/>
      <c r="I33" s="46"/>
      <c r="J33" s="47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/>
      <c r="V33" s="20"/>
      <c r="X33" s="48"/>
      <c r="Y33" s="49"/>
      <c r="Z33" s="49"/>
      <c r="AA33" s="50"/>
      <c r="AB33" s="50"/>
      <c r="AC33" s="48"/>
      <c r="AD33" s="48"/>
      <c r="AE33" s="48"/>
      <c r="AF33" s="48"/>
      <c r="AG33" s="48"/>
      <c r="AH33" s="48"/>
      <c r="AI33" s="48"/>
      <c r="AJ33" s="48"/>
    </row>
    <row r="34" ht="21.75" customHeight="1" spans="1:36">
      <c r="A34" s="18"/>
      <c r="B34" s="45"/>
      <c r="C34" s="19"/>
      <c r="D34" s="19"/>
      <c r="E34" s="19"/>
      <c r="F34" s="19"/>
      <c r="G34" s="19"/>
      <c r="H34" s="19"/>
      <c r="I34" s="46"/>
      <c r="J34" s="51"/>
      <c r="K34" s="52"/>
      <c r="L34" s="19"/>
      <c r="M34" s="19"/>
      <c r="N34" s="19"/>
      <c r="O34" s="19"/>
      <c r="P34" s="19"/>
      <c r="Q34" s="19"/>
      <c r="R34" s="19"/>
      <c r="S34" s="19"/>
      <c r="T34" s="19"/>
      <c r="U34" s="53"/>
      <c r="V34" s="20"/>
    </row>
    <row r="35" ht="21.75" customHeight="1" spans="1:36">
      <c r="A35" s="18"/>
      <c r="B35" s="45"/>
      <c r="C35" s="19"/>
      <c r="D35" s="19"/>
      <c r="E35" s="19"/>
      <c r="F35" s="19"/>
      <c r="G35" s="19"/>
      <c r="H35" s="19"/>
      <c r="I35" s="46"/>
      <c r="J35" s="47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  <c r="V35" s="20"/>
    </row>
    <row r="36" ht="21.75" customHeight="1" spans="1:36">
      <c r="A36" s="18"/>
      <c r="B36" s="45"/>
      <c r="C36" s="19"/>
      <c r="D36" s="19"/>
      <c r="E36" s="19"/>
      <c r="F36" s="19"/>
      <c r="G36" s="19"/>
      <c r="H36" s="19"/>
      <c r="I36" s="46"/>
      <c r="J36" s="47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5"/>
      <c r="V36" s="20"/>
    </row>
    <row r="37" ht="21.75" customHeight="1" spans="1:36">
      <c r="A37" s="18"/>
      <c r="B37" s="45"/>
      <c r="C37" s="19"/>
      <c r="D37" s="19"/>
      <c r="E37" s="19"/>
      <c r="F37" s="19"/>
      <c r="G37" s="19"/>
      <c r="H37" s="19"/>
      <c r="I37" s="46"/>
      <c r="J37" s="47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5"/>
      <c r="V37" s="20"/>
    </row>
    <row r="38" ht="21.75" customHeight="1" spans="1:36">
      <c r="A38" s="18"/>
      <c r="B38" s="45"/>
      <c r="C38" s="19"/>
      <c r="D38" s="19"/>
      <c r="E38" s="19"/>
      <c r="F38" s="19"/>
      <c r="G38" s="19"/>
      <c r="H38" s="19"/>
      <c r="I38" s="46"/>
      <c r="J38" s="47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5"/>
      <c r="V38" s="20"/>
    </row>
    <row r="39" ht="21.75" customHeight="1" spans="1:36">
      <c r="A39" s="18"/>
      <c r="B39" s="45"/>
      <c r="C39" s="19"/>
      <c r="D39" s="19"/>
      <c r="E39" s="19"/>
      <c r="F39" s="19"/>
      <c r="G39" s="19"/>
      <c r="H39" s="19"/>
      <c r="I39" s="46"/>
      <c r="J39" s="47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5"/>
      <c r="V39" s="20"/>
    </row>
    <row r="40" ht="21.75" customHeight="1" spans="1:36">
      <c r="A40" s="18"/>
      <c r="B40" s="45"/>
      <c r="C40" s="19"/>
      <c r="D40" s="19"/>
      <c r="E40" s="19"/>
      <c r="F40" s="19"/>
      <c r="G40" s="19"/>
      <c r="H40" s="19"/>
      <c r="I40" s="46"/>
      <c r="J40" s="47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5"/>
      <c r="V40" s="20"/>
    </row>
    <row r="41" ht="21.75" customHeight="1" spans="1:36">
      <c r="A41" s="18"/>
      <c r="B41" s="45"/>
      <c r="C41" s="19"/>
      <c r="D41" s="19"/>
      <c r="E41" s="19"/>
      <c r="F41" s="19"/>
      <c r="G41" s="19"/>
      <c r="H41" s="19"/>
      <c r="I41" s="46"/>
      <c r="J41" s="56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8"/>
      <c r="V41" s="20"/>
    </row>
    <row r="42" ht="21.75" customHeight="1" spans="1:36">
      <c r="A42" s="18"/>
      <c r="B42" s="45"/>
      <c r="C42" s="19"/>
      <c r="D42" s="19"/>
      <c r="E42" s="19"/>
      <c r="F42" s="19"/>
      <c r="G42" s="19"/>
      <c r="H42" s="19"/>
      <c r="I42" s="46"/>
      <c r="J42" s="59"/>
      <c r="K42" s="60"/>
      <c r="L42" s="48"/>
      <c r="M42" s="48"/>
      <c r="N42" s="48"/>
      <c r="O42" s="48"/>
      <c r="P42" s="48"/>
      <c r="Q42" s="48"/>
      <c r="R42" s="61"/>
      <c r="S42" s="62" t="s">
        <v>56</v>
      </c>
      <c r="T42" s="63"/>
      <c r="U42" s="64" t="s">
        <v>57</v>
      </c>
      <c r="V42" s="65"/>
    </row>
    <row r="43" ht="21.75" customHeight="1" spans="1:36">
      <c r="A43" s="18"/>
      <c r="B43" s="45"/>
      <c r="C43" s="19"/>
      <c r="D43" s="19"/>
      <c r="E43" s="19"/>
      <c r="F43" s="19"/>
      <c r="G43" s="19"/>
      <c r="H43" s="19"/>
      <c r="I43" s="46"/>
      <c r="J43" s="66"/>
      <c r="K43" s="67"/>
      <c r="L43" s="54"/>
      <c r="M43" s="54"/>
      <c r="N43" s="54"/>
      <c r="O43" s="54"/>
      <c r="P43" s="54"/>
      <c r="Q43" s="54"/>
      <c r="R43" s="68"/>
      <c r="S43" s="69" t="str">
        <f>$H$4</f>
        <v>: </v>
      </c>
      <c r="T43" s="70"/>
      <c r="U43" s="71"/>
      <c r="V43" s="20"/>
    </row>
    <row r="44" ht="21.75" customHeight="1" spans="1:36">
      <c r="A44" s="18"/>
      <c r="B44" s="45"/>
      <c r="C44" s="19"/>
      <c r="D44" s="19"/>
      <c r="E44" s="19"/>
      <c r="F44" s="19"/>
      <c r="G44" s="19"/>
      <c r="H44" s="19"/>
      <c r="I44" s="46"/>
      <c r="J44" s="47"/>
      <c r="K44" s="54"/>
      <c r="L44" s="54"/>
      <c r="M44" s="54"/>
      <c r="N44" s="54"/>
      <c r="O44" s="54"/>
      <c r="P44" s="54"/>
      <c r="Q44" s="54"/>
      <c r="R44" s="68"/>
      <c r="S44" s="72"/>
      <c r="T44" s="70"/>
      <c r="U44" s="71"/>
      <c r="V44" s="20"/>
    </row>
    <row r="45" ht="21.75" customHeight="1" spans="1:36">
      <c r="A45" s="18"/>
      <c r="B45" s="45"/>
      <c r="C45" s="19"/>
      <c r="D45" s="19"/>
      <c r="E45" s="19"/>
      <c r="F45" s="19"/>
      <c r="G45" s="19"/>
      <c r="H45" s="19"/>
      <c r="I45" s="46"/>
      <c r="J45" s="47"/>
      <c r="K45" s="54"/>
      <c r="L45" s="54"/>
      <c r="M45" s="54"/>
      <c r="N45" s="54"/>
      <c r="O45" s="54"/>
      <c r="P45" s="54"/>
      <c r="Q45" s="54"/>
      <c r="R45" s="68"/>
      <c r="S45" s="72"/>
      <c r="T45" s="70"/>
      <c r="U45" s="71"/>
      <c r="V45" s="20"/>
    </row>
    <row r="46" ht="21.75" customHeight="1" spans="1:36">
      <c r="A46" s="18"/>
      <c r="B46" s="45"/>
      <c r="C46" s="19"/>
      <c r="D46" s="19"/>
      <c r="E46" s="19"/>
      <c r="F46" s="19"/>
      <c r="G46" s="19"/>
      <c r="H46" s="19"/>
      <c r="I46" s="46"/>
      <c r="J46" s="47"/>
      <c r="K46" s="54"/>
      <c r="L46" s="54"/>
      <c r="M46" s="54"/>
      <c r="N46" s="54"/>
      <c r="O46" s="54"/>
      <c r="P46" s="54"/>
      <c r="Q46" s="54"/>
      <c r="R46" s="68"/>
      <c r="S46" s="72"/>
      <c r="T46" s="70"/>
      <c r="U46" s="71"/>
      <c r="V46" s="20"/>
    </row>
    <row r="47" ht="21.75" customHeight="1" spans="1:36">
      <c r="A47" s="18"/>
      <c r="B47" s="45"/>
      <c r="C47" s="19"/>
      <c r="D47" s="19"/>
      <c r="E47" s="19"/>
      <c r="F47" s="19"/>
      <c r="G47" s="19"/>
      <c r="H47" s="19"/>
      <c r="I47" s="46"/>
      <c r="J47" s="47"/>
      <c r="K47" s="54"/>
      <c r="L47" s="54"/>
      <c r="M47" s="54"/>
      <c r="N47" s="54"/>
      <c r="O47" s="54"/>
      <c r="P47" s="54"/>
      <c r="Q47" s="54"/>
      <c r="R47" s="68"/>
      <c r="S47" s="72"/>
      <c r="T47" s="70"/>
      <c r="U47" s="71"/>
      <c r="V47" s="20"/>
    </row>
    <row r="48" ht="21.75" customHeight="1" spans="1:36">
      <c r="A48" s="18"/>
      <c r="B48" s="45"/>
      <c r="C48" s="19"/>
      <c r="D48" s="19"/>
      <c r="E48" s="19"/>
      <c r="F48" s="19"/>
      <c r="G48" s="19"/>
      <c r="H48" s="19"/>
      <c r="I48" s="46"/>
      <c r="J48" s="47"/>
      <c r="K48" s="54"/>
      <c r="L48" s="54"/>
      <c r="M48" s="54"/>
      <c r="N48" s="54"/>
      <c r="O48" s="54"/>
      <c r="P48" s="54"/>
      <c r="Q48" s="54"/>
      <c r="R48" s="68"/>
      <c r="S48" s="72"/>
      <c r="T48" s="70"/>
      <c r="U48" s="71"/>
      <c r="V48" s="20"/>
    </row>
    <row r="49" ht="21.75" customHeight="1" spans="1:37">
      <c r="A49" s="18"/>
      <c r="B49" s="73"/>
      <c r="C49" s="74"/>
      <c r="D49" s="74"/>
      <c r="E49" s="74"/>
      <c r="F49" s="74"/>
      <c r="G49" s="74"/>
      <c r="H49" s="74"/>
      <c r="I49" s="75"/>
      <c r="J49" s="76"/>
      <c r="K49" s="77"/>
      <c r="L49" s="77"/>
      <c r="M49" s="77"/>
      <c r="N49" s="77"/>
      <c r="O49" s="77"/>
      <c r="P49" s="77"/>
      <c r="Q49" s="77"/>
      <c r="R49" s="78"/>
      <c r="S49" s="79"/>
      <c r="T49" s="80"/>
      <c r="U49" s="81"/>
      <c r="V49" s="20"/>
      <c r="X49" s="21" t="s">
        <v>40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 ht="21.75" customHeight="1" spans="1:37">
      <c r="A50" s="18"/>
      <c r="B50" s="22" t="s">
        <v>41</v>
      </c>
      <c r="C50" s="23"/>
      <c r="D50" s="23"/>
      <c r="E50" s="23"/>
      <c r="F50" s="23"/>
      <c r="G50" s="23"/>
      <c r="H50" s="23"/>
      <c r="I50" s="24"/>
      <c r="J50" s="25" t="s">
        <v>42</v>
      </c>
      <c r="K50" s="26"/>
      <c r="L50" s="26"/>
      <c r="M50" s="26"/>
      <c r="N50" s="26"/>
      <c r="O50" s="26"/>
      <c r="P50" s="27"/>
      <c r="Q50" s="27"/>
      <c r="R50" s="27"/>
      <c r="S50" s="27"/>
      <c r="T50" s="27"/>
      <c r="U50" s="28"/>
      <c r="V50" s="20"/>
    </row>
    <row r="51" ht="21.75" customHeight="1" spans="1:37">
      <c r="A51" s="18"/>
      <c r="B51" s="29" t="str">
        <f>X49</f>
        <v>input data untuk sourc e grafik</v>
      </c>
      <c r="C51" s="30"/>
      <c r="D51" s="30"/>
      <c r="E51" s="30"/>
      <c r="F51" s="30"/>
      <c r="G51" s="30"/>
      <c r="H51" s="30"/>
      <c r="I51" s="31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20"/>
      <c r="X51" s="84"/>
      <c r="Y51" s="85" t="s">
        <v>43</v>
      </c>
      <c r="Z51" s="85" t="s">
        <v>44</v>
      </c>
      <c r="AA51" s="85" t="s">
        <v>45</v>
      </c>
      <c r="AB51" s="85" t="s">
        <v>46</v>
      </c>
      <c r="AC51" s="85" t="s">
        <v>47</v>
      </c>
      <c r="AD51" s="85" t="s">
        <v>48</v>
      </c>
      <c r="AE51" s="85" t="s">
        <v>49</v>
      </c>
      <c r="AF51" s="85" t="s">
        <v>58</v>
      </c>
      <c r="AG51" s="85" t="s">
        <v>51</v>
      </c>
      <c r="AH51" s="85" t="s">
        <v>52</v>
      </c>
      <c r="AI51" s="85" t="s">
        <v>59</v>
      </c>
      <c r="AJ51" s="85" t="s">
        <v>54</v>
      </c>
      <c r="AK51" s="36" t="s">
        <v>55</v>
      </c>
    </row>
    <row r="52" ht="21.75" customHeight="1" spans="1:37">
      <c r="A52" s="18"/>
      <c r="B52" s="37"/>
      <c r="C52" s="38"/>
      <c r="D52" s="38"/>
      <c r="E52" s="38"/>
      <c r="F52" s="38"/>
      <c r="G52" s="38"/>
      <c r="H52" s="38"/>
      <c r="I52" s="39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20"/>
      <c r="X52" s="84" t="s">
        <v>17</v>
      </c>
      <c r="Y52" s="82">
        <v>100</v>
      </c>
      <c r="Z52" s="82">
        <v>100</v>
      </c>
      <c r="AA52" s="82">
        <v>100</v>
      </c>
      <c r="AB52" s="82">
        <v>100</v>
      </c>
      <c r="AC52" s="82">
        <v>100</v>
      </c>
      <c r="AD52" s="82">
        <v>100</v>
      </c>
      <c r="AE52" s="82">
        <v>100</v>
      </c>
      <c r="AF52" s="82">
        <v>100</v>
      </c>
      <c r="AG52" s="82">
        <v>100</v>
      </c>
      <c r="AH52" s="82">
        <v>100</v>
      </c>
      <c r="AI52" s="82">
        <v>100</v>
      </c>
      <c r="AJ52" s="82">
        <v>100</v>
      </c>
      <c r="AK52" s="82">
        <v>100</v>
      </c>
    </row>
    <row r="53" ht="21.75" customHeight="1" spans="1:37">
      <c r="A53" s="18"/>
      <c r="B53" s="41"/>
      <c r="C53" s="42"/>
      <c r="D53" s="42"/>
      <c r="E53" s="42"/>
      <c r="F53" s="42"/>
      <c r="G53" s="42"/>
      <c r="H53" s="42"/>
      <c r="I53" s="43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20"/>
      <c r="X53" s="84" t="s">
        <v>18</v>
      </c>
      <c r="Y53" s="82">
        <v>90</v>
      </c>
      <c r="Z53" s="40">
        <v>80</v>
      </c>
      <c r="AA53" s="40"/>
      <c r="AB53" s="40"/>
      <c r="AC53" s="44"/>
      <c r="AD53" s="44"/>
      <c r="AE53" s="44"/>
      <c r="AF53" s="44"/>
      <c r="AG53" s="44"/>
      <c r="AH53" s="44"/>
      <c r="AI53" s="83"/>
      <c r="AJ53" s="83"/>
      <c r="AK53" s="44">
        <f>+AVERAGE(Y53:AJ53)</f>
        <v>85</v>
      </c>
    </row>
    <row r="54" ht="21.75" customHeight="1" spans="1:37">
      <c r="A54" s="18"/>
      <c r="B54" s="45"/>
      <c r="C54" s="19"/>
      <c r="D54" s="19"/>
      <c r="E54" s="19"/>
      <c r="F54" s="19"/>
      <c r="G54" s="19"/>
      <c r="H54" s="19"/>
      <c r="I54" s="46"/>
      <c r="J54" s="47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20"/>
      <c r="X54" s="48"/>
      <c r="Y54" s="49"/>
      <c r="Z54" s="49"/>
      <c r="AA54" s="50"/>
      <c r="AB54" s="50"/>
      <c r="AC54" s="48"/>
      <c r="AD54" s="48"/>
      <c r="AE54" s="48"/>
      <c r="AF54" s="48"/>
      <c r="AG54" s="48"/>
      <c r="AH54" s="48"/>
      <c r="AI54" s="48"/>
      <c r="AJ54" s="48"/>
    </row>
    <row r="55" ht="21.75" customHeight="1" spans="1:37">
      <c r="A55" s="18"/>
      <c r="B55" s="45"/>
      <c r="C55" s="19"/>
      <c r="D55" s="19"/>
      <c r="E55" s="19"/>
      <c r="F55" s="19"/>
      <c r="G55" s="19"/>
      <c r="H55" s="19"/>
      <c r="I55" s="46"/>
      <c r="J55" s="51"/>
      <c r="K55" s="52"/>
      <c r="L55" s="19"/>
      <c r="M55" s="19"/>
      <c r="N55" s="19"/>
      <c r="O55" s="19"/>
      <c r="P55" s="19"/>
      <c r="Q55" s="19"/>
      <c r="R55" s="19"/>
      <c r="S55" s="19"/>
      <c r="T55" s="19"/>
      <c r="U55" s="53"/>
      <c r="V55" s="20"/>
    </row>
    <row r="56" ht="21.75" customHeight="1" spans="1:37">
      <c r="A56" s="18"/>
      <c r="B56" s="45"/>
      <c r="C56" s="19"/>
      <c r="D56" s="19"/>
      <c r="E56" s="19"/>
      <c r="F56" s="19"/>
      <c r="G56" s="19"/>
      <c r="H56" s="19"/>
      <c r="I56" s="46"/>
      <c r="J56" s="47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5"/>
      <c r="V56" s="20"/>
    </row>
    <row r="57" ht="21.75" customHeight="1" spans="1:37">
      <c r="A57" s="18"/>
      <c r="B57" s="45"/>
      <c r="C57" s="19"/>
      <c r="D57" s="19"/>
      <c r="E57" s="19"/>
      <c r="F57" s="19"/>
      <c r="G57" s="19"/>
      <c r="H57" s="19"/>
      <c r="I57" s="46"/>
      <c r="J57" s="47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5"/>
      <c r="V57" s="20"/>
    </row>
    <row r="58" ht="21.75" customHeight="1" spans="1:37">
      <c r="A58" s="18"/>
      <c r="B58" s="45"/>
      <c r="C58" s="19"/>
      <c r="D58" s="19"/>
      <c r="E58" s="19"/>
      <c r="F58" s="19"/>
      <c r="G58" s="19"/>
      <c r="H58" s="19"/>
      <c r="I58" s="46"/>
      <c r="J58" s="47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5"/>
      <c r="V58" s="20"/>
    </row>
    <row r="59" ht="21.75" customHeight="1" spans="1:37">
      <c r="A59" s="18"/>
      <c r="B59" s="45"/>
      <c r="C59" s="19"/>
      <c r="D59" s="19"/>
      <c r="E59" s="19"/>
      <c r="F59" s="19"/>
      <c r="G59" s="19"/>
      <c r="H59" s="19"/>
      <c r="I59" s="46"/>
      <c r="J59" s="47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5"/>
      <c r="V59" s="20"/>
    </row>
    <row r="60" ht="21.75" customHeight="1" spans="1:37">
      <c r="A60" s="18"/>
      <c r="B60" s="45"/>
      <c r="C60" s="19"/>
      <c r="D60" s="19"/>
      <c r="E60" s="19"/>
      <c r="F60" s="19"/>
      <c r="G60" s="19"/>
      <c r="H60" s="19"/>
      <c r="I60" s="46"/>
      <c r="J60" s="47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5"/>
      <c r="V60" s="20"/>
    </row>
    <row r="61" ht="21.75" customHeight="1" spans="1:37">
      <c r="A61" s="18"/>
      <c r="B61" s="45"/>
      <c r="C61" s="19"/>
      <c r="D61" s="19"/>
      <c r="E61" s="19"/>
      <c r="F61" s="19"/>
      <c r="G61" s="19"/>
      <c r="H61" s="19"/>
      <c r="I61" s="46"/>
      <c r="J61" s="47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5"/>
      <c r="V61" s="20"/>
    </row>
    <row r="62" ht="21.75" customHeight="1" spans="1:37">
      <c r="A62" s="18"/>
      <c r="B62" s="45"/>
      <c r="C62" s="19"/>
      <c r="D62" s="19"/>
      <c r="E62" s="19"/>
      <c r="F62" s="19"/>
      <c r="G62" s="19"/>
      <c r="H62" s="19"/>
      <c r="I62" s="46"/>
      <c r="J62" s="56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8"/>
      <c r="V62" s="20"/>
    </row>
    <row r="63" ht="21.75" customHeight="1" spans="1:37">
      <c r="A63" s="18"/>
      <c r="B63" s="45"/>
      <c r="C63" s="19"/>
      <c r="D63" s="19"/>
      <c r="E63" s="19"/>
      <c r="F63" s="19"/>
      <c r="G63" s="19"/>
      <c r="H63" s="19"/>
      <c r="I63" s="46"/>
      <c r="J63" s="59"/>
      <c r="K63" s="60"/>
      <c r="L63" s="48"/>
      <c r="M63" s="48"/>
      <c r="N63" s="48"/>
      <c r="O63" s="48"/>
      <c r="P63" s="48"/>
      <c r="Q63" s="48"/>
      <c r="R63" s="61"/>
      <c r="S63" s="62" t="s">
        <v>56</v>
      </c>
      <c r="T63" s="63"/>
      <c r="U63" s="64" t="s">
        <v>57</v>
      </c>
      <c r="V63" s="65"/>
    </row>
    <row r="64" ht="21.75" customHeight="1" spans="1:37">
      <c r="A64" s="18"/>
      <c r="B64" s="45"/>
      <c r="C64" s="19"/>
      <c r="D64" s="19"/>
      <c r="E64" s="19"/>
      <c r="F64" s="19"/>
      <c r="G64" s="19"/>
      <c r="H64" s="19"/>
      <c r="I64" s="46"/>
      <c r="J64" s="66"/>
      <c r="K64" s="67"/>
      <c r="L64" s="54"/>
      <c r="M64" s="54"/>
      <c r="N64" s="54"/>
      <c r="O64" s="54"/>
      <c r="P64" s="54"/>
      <c r="Q64" s="54"/>
      <c r="R64" s="68"/>
      <c r="S64" s="69" t="str">
        <f>$H$4</f>
        <v>: </v>
      </c>
      <c r="T64" s="70"/>
      <c r="U64" s="71"/>
      <c r="V64" s="20"/>
    </row>
    <row r="65" ht="21.75" customHeight="1" spans="1:45">
      <c r="A65" s="18"/>
      <c r="B65" s="45"/>
      <c r="C65" s="19"/>
      <c r="D65" s="19"/>
      <c r="E65" s="19"/>
      <c r="F65" s="19"/>
      <c r="G65" s="19"/>
      <c r="H65" s="19"/>
      <c r="I65" s="46"/>
      <c r="J65" s="47"/>
      <c r="K65" s="54"/>
      <c r="L65" s="54"/>
      <c r="M65" s="54"/>
      <c r="N65" s="54"/>
      <c r="O65" s="54"/>
      <c r="P65" s="54"/>
      <c r="Q65" s="54"/>
      <c r="R65" s="68"/>
      <c r="S65" s="72"/>
      <c r="T65" s="70"/>
      <c r="U65" s="71"/>
      <c r="V65" s="20"/>
    </row>
    <row r="66" ht="21.75" customHeight="1" spans="1:45">
      <c r="A66" s="18"/>
      <c r="B66" s="45"/>
      <c r="C66" s="19"/>
      <c r="D66" s="19"/>
      <c r="E66" s="19"/>
      <c r="F66" s="19"/>
      <c r="G66" s="19"/>
      <c r="H66" s="19"/>
      <c r="I66" s="46"/>
      <c r="J66" s="47"/>
      <c r="K66" s="54"/>
      <c r="L66" s="54"/>
      <c r="M66" s="54"/>
      <c r="N66" s="54"/>
      <c r="O66" s="54"/>
      <c r="P66" s="54"/>
      <c r="Q66" s="54"/>
      <c r="R66" s="68"/>
      <c r="S66" s="72"/>
      <c r="T66" s="70"/>
      <c r="U66" s="71"/>
      <c r="V66" s="20"/>
    </row>
    <row r="67" ht="21.75" customHeight="1" spans="1:45">
      <c r="A67" s="18"/>
      <c r="B67" s="45"/>
      <c r="C67" s="19"/>
      <c r="D67" s="19"/>
      <c r="E67" s="19"/>
      <c r="F67" s="19"/>
      <c r="G67" s="19"/>
      <c r="H67" s="19"/>
      <c r="I67" s="46"/>
      <c r="J67" s="47"/>
      <c r="K67" s="54"/>
      <c r="L67" s="54"/>
      <c r="M67" s="54"/>
      <c r="N67" s="54"/>
      <c r="O67" s="54"/>
      <c r="P67" s="54"/>
      <c r="Q67" s="54"/>
      <c r="R67" s="68"/>
      <c r="S67" s="72"/>
      <c r="T67" s="70"/>
      <c r="U67" s="71"/>
      <c r="V67" s="20"/>
    </row>
    <row r="68" ht="21.75" customHeight="1" spans="1:45">
      <c r="A68" s="18"/>
      <c r="B68" s="45"/>
      <c r="C68" s="19"/>
      <c r="D68" s="19"/>
      <c r="E68" s="19"/>
      <c r="F68" s="19"/>
      <c r="G68" s="19"/>
      <c r="H68" s="19"/>
      <c r="I68" s="46"/>
      <c r="J68" s="47"/>
      <c r="K68" s="54"/>
      <c r="L68" s="54"/>
      <c r="M68" s="54"/>
      <c r="N68" s="54"/>
      <c r="O68" s="54"/>
      <c r="P68" s="54"/>
      <c r="Q68" s="54"/>
      <c r="R68" s="68"/>
      <c r="S68" s="72"/>
      <c r="T68" s="70"/>
      <c r="U68" s="71"/>
      <c r="V68" s="20"/>
    </row>
    <row r="69" ht="21.75" customHeight="1" spans="1:45">
      <c r="A69" s="18"/>
      <c r="B69" s="45"/>
      <c r="C69" s="19"/>
      <c r="D69" s="19"/>
      <c r="E69" s="19"/>
      <c r="F69" s="19"/>
      <c r="G69" s="19"/>
      <c r="H69" s="19"/>
      <c r="I69" s="46"/>
      <c r="J69" s="47"/>
      <c r="K69" s="54"/>
      <c r="L69" s="54"/>
      <c r="M69" s="54"/>
      <c r="N69" s="54"/>
      <c r="O69" s="54"/>
      <c r="P69" s="54"/>
      <c r="Q69" s="54"/>
      <c r="R69" s="68"/>
      <c r="S69" s="72"/>
      <c r="T69" s="70"/>
      <c r="U69" s="71"/>
      <c r="V69" s="20"/>
    </row>
    <row r="70" ht="21.75" customHeight="1" spans="1:45">
      <c r="A70" s="18"/>
      <c r="B70" s="73"/>
      <c r="C70" s="74"/>
      <c r="D70" s="74"/>
      <c r="E70" s="74"/>
      <c r="F70" s="74"/>
      <c r="G70" s="74"/>
      <c r="H70" s="74"/>
      <c r="I70" s="75"/>
      <c r="J70" s="76"/>
      <c r="K70" s="77"/>
      <c r="L70" s="77"/>
      <c r="M70" s="77"/>
      <c r="N70" s="77"/>
      <c r="O70" s="77"/>
      <c r="P70" s="77"/>
      <c r="Q70" s="77"/>
      <c r="R70" s="78"/>
      <c r="S70" s="79"/>
      <c r="T70" s="80"/>
      <c r="U70" s="81"/>
      <c r="V70" s="20"/>
      <c r="X70" s="21" t="s">
        <v>40</v>
      </c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 ht="21.75" customHeight="1" spans="1:45">
      <c r="A71" s="18"/>
      <c r="B71" s="22" t="s">
        <v>41</v>
      </c>
      <c r="C71" s="23"/>
      <c r="D71" s="23"/>
      <c r="E71" s="23"/>
      <c r="F71" s="23"/>
      <c r="G71" s="23"/>
      <c r="H71" s="23"/>
      <c r="I71" s="24"/>
      <c r="J71" s="25" t="s">
        <v>42</v>
      </c>
      <c r="K71" s="26"/>
      <c r="L71" s="26"/>
      <c r="M71" s="26"/>
      <c r="N71" s="26"/>
      <c r="O71" s="26"/>
      <c r="P71" s="27"/>
      <c r="Q71" s="27"/>
      <c r="R71" s="27"/>
      <c r="S71" s="27"/>
      <c r="T71" s="27"/>
      <c r="U71" s="28"/>
      <c r="V71" s="20"/>
    </row>
    <row r="72" ht="21.75" customHeight="1" spans="1:45">
      <c r="A72" s="18"/>
      <c r="B72" s="29" t="str">
        <f>X70</f>
        <v>input data untuk sourc e grafik</v>
      </c>
      <c r="C72" s="30"/>
      <c r="D72" s="30"/>
      <c r="E72" s="30"/>
      <c r="F72" s="30"/>
      <c r="G72" s="30"/>
      <c r="H72" s="30"/>
      <c r="I72" s="31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20"/>
      <c r="X72" s="35"/>
      <c r="Y72" s="36" t="s">
        <v>43</v>
      </c>
      <c r="Z72" s="36" t="s">
        <v>44</v>
      </c>
      <c r="AA72" s="36" t="s">
        <v>45</v>
      </c>
      <c r="AB72" s="36" t="s">
        <v>46</v>
      </c>
      <c r="AC72" s="36" t="s">
        <v>47</v>
      </c>
      <c r="AD72" s="36" t="s">
        <v>48</v>
      </c>
      <c r="AE72" s="36" t="s">
        <v>49</v>
      </c>
      <c r="AF72" s="36" t="s">
        <v>50</v>
      </c>
      <c r="AG72" s="36" t="s">
        <v>51</v>
      </c>
      <c r="AH72" s="36" t="s">
        <v>52</v>
      </c>
      <c r="AI72" s="36" t="s">
        <v>53</v>
      </c>
      <c r="AJ72" s="36" t="s">
        <v>54</v>
      </c>
      <c r="AK72" s="36" t="s">
        <v>55</v>
      </c>
    </row>
    <row r="73" ht="21.75" customHeight="1" spans="1:45">
      <c r="A73" s="18"/>
      <c r="B73" s="37"/>
      <c r="C73" s="38"/>
      <c r="D73" s="38"/>
      <c r="E73" s="38"/>
      <c r="F73" s="38"/>
      <c r="G73" s="38"/>
      <c r="H73" s="38"/>
      <c r="I73" s="39"/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20"/>
      <c r="X73" s="35" t="s">
        <v>17</v>
      </c>
      <c r="Y73" s="40">
        <v>28000</v>
      </c>
      <c r="Z73" s="40">
        <v>28000</v>
      </c>
      <c r="AA73" s="40">
        <v>28000</v>
      </c>
      <c r="AB73" s="40">
        <v>28000</v>
      </c>
      <c r="AC73" s="40">
        <v>23000</v>
      </c>
      <c r="AD73" s="40">
        <v>23000</v>
      </c>
      <c r="AE73" s="40">
        <v>23000</v>
      </c>
      <c r="AF73" s="40">
        <v>23000</v>
      </c>
      <c r="AG73" s="40">
        <v>18000</v>
      </c>
      <c r="AH73" s="40">
        <v>18000</v>
      </c>
      <c r="AI73" s="40">
        <v>18000</v>
      </c>
      <c r="AJ73" s="40">
        <v>18000</v>
      </c>
      <c r="AK73" s="40">
        <v>100</v>
      </c>
      <c r="AL73" s="86"/>
      <c r="AM73" s="86"/>
      <c r="AN73" s="86"/>
      <c r="AO73" s="86"/>
      <c r="AP73" s="86"/>
      <c r="AQ73" s="86"/>
      <c r="AR73" s="86"/>
      <c r="AS73" s="86"/>
    </row>
    <row r="74" ht="21.75" customHeight="1" spans="1:45">
      <c r="A74" s="18"/>
      <c r="B74" s="41"/>
      <c r="C74" s="42"/>
      <c r="D74" s="42"/>
      <c r="E74" s="42"/>
      <c r="F74" s="42"/>
      <c r="G74" s="42"/>
      <c r="H74" s="42"/>
      <c r="I74" s="43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20"/>
      <c r="X74" s="35" t="s">
        <v>18</v>
      </c>
      <c r="Y74" s="40">
        <v>27450</v>
      </c>
      <c r="Z74" s="40">
        <v>37841</v>
      </c>
      <c r="AA74" s="40">
        <v>25324</v>
      </c>
      <c r="AB74" s="40">
        <v>28424</v>
      </c>
      <c r="AC74" s="44">
        <v>23144</v>
      </c>
      <c r="AD74" s="44">
        <v>17534</v>
      </c>
      <c r="AE74" s="44"/>
      <c r="AF74" s="44"/>
      <c r="AG74" s="44"/>
      <c r="AH74" s="44"/>
      <c r="AI74" s="44"/>
      <c r="AJ74" s="44"/>
      <c r="AK74" s="44">
        <v>100</v>
      </c>
      <c r="AL74" s="86"/>
      <c r="AM74" s="86"/>
      <c r="AN74" s="86"/>
      <c r="AO74" s="86"/>
      <c r="AP74" s="86"/>
      <c r="AQ74" s="86"/>
      <c r="AR74" s="86"/>
      <c r="AS74" s="86"/>
    </row>
    <row r="75" ht="21.75" customHeight="1" spans="1:45">
      <c r="A75" s="18"/>
      <c r="B75" s="45"/>
      <c r="C75" s="19"/>
      <c r="D75" s="19"/>
      <c r="E75" s="19"/>
      <c r="F75" s="19"/>
      <c r="G75" s="19"/>
      <c r="H75" s="19"/>
      <c r="I75" s="46"/>
      <c r="J75" s="47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20"/>
      <c r="X75" s="87"/>
      <c r="Y75" s="49"/>
      <c r="Z75" s="49"/>
      <c r="AA75" s="49"/>
      <c r="AB75" s="49"/>
      <c r="AC75" s="87"/>
      <c r="AD75" s="87"/>
      <c r="AE75" s="87"/>
      <c r="AF75" s="87"/>
      <c r="AG75" s="87"/>
      <c r="AH75" s="87"/>
      <c r="AI75" s="87"/>
      <c r="AJ75" s="87"/>
      <c r="AK75" s="86"/>
      <c r="AL75" s="86"/>
      <c r="AM75" s="86"/>
      <c r="AN75" s="86"/>
      <c r="AO75" s="86"/>
      <c r="AP75" s="86"/>
      <c r="AQ75" s="86"/>
      <c r="AR75" s="86"/>
      <c r="AS75" s="86"/>
    </row>
    <row r="76" ht="21.75" customHeight="1" spans="1:45">
      <c r="A76" s="18"/>
      <c r="B76" s="45"/>
      <c r="C76" s="19"/>
      <c r="D76" s="19"/>
      <c r="E76" s="19"/>
      <c r="F76" s="19"/>
      <c r="G76" s="19"/>
      <c r="H76" s="19"/>
      <c r="I76" s="46"/>
      <c r="J76" s="51"/>
      <c r="K76" s="52"/>
      <c r="L76" s="19"/>
      <c r="M76" s="19"/>
      <c r="N76" s="19"/>
      <c r="O76" s="19"/>
      <c r="P76" s="19"/>
      <c r="Q76" s="19"/>
      <c r="R76" s="19"/>
      <c r="S76" s="19"/>
      <c r="T76" s="19"/>
      <c r="U76" s="53"/>
      <c r="V76" s="20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</row>
    <row r="77" ht="21.75" customHeight="1" spans="1:45">
      <c r="A77" s="18"/>
      <c r="B77" s="45"/>
      <c r="C77" s="19"/>
      <c r="D77" s="19"/>
      <c r="E77" s="19"/>
      <c r="F77" s="19"/>
      <c r="G77" s="19"/>
      <c r="H77" s="19"/>
      <c r="I77" s="46"/>
      <c r="J77" s="47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5"/>
      <c r="V77" s="20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</row>
    <row r="78" ht="21.75" customHeight="1" spans="1:45">
      <c r="A78" s="18"/>
      <c r="B78" s="45"/>
      <c r="C78" s="19"/>
      <c r="D78" s="19"/>
      <c r="E78" s="19"/>
      <c r="F78" s="19"/>
      <c r="G78" s="19"/>
      <c r="H78" s="19"/>
      <c r="I78" s="46"/>
      <c r="J78" s="47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5"/>
      <c r="V78" s="20"/>
    </row>
    <row r="79" ht="21.75" customHeight="1" spans="1:45">
      <c r="A79" s="18"/>
      <c r="B79" s="45"/>
      <c r="C79" s="19"/>
      <c r="D79" s="19"/>
      <c r="E79" s="19"/>
      <c r="F79" s="19"/>
      <c r="G79" s="19"/>
      <c r="H79" s="19"/>
      <c r="I79" s="46"/>
      <c r="J79" s="47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5"/>
      <c r="V79" s="20"/>
    </row>
    <row r="80" ht="21.75" customHeight="1" spans="1:45">
      <c r="A80" s="18"/>
      <c r="B80" s="45"/>
      <c r="C80" s="19"/>
      <c r="D80" s="19"/>
      <c r="E80" s="19"/>
      <c r="F80" s="19"/>
      <c r="G80" s="19"/>
      <c r="H80" s="19"/>
      <c r="I80" s="46"/>
      <c r="J80" s="47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5"/>
      <c r="V80" s="20"/>
    </row>
    <row r="81" ht="21.75" customHeight="1" spans="1:36">
      <c r="A81" s="18"/>
      <c r="B81" s="45"/>
      <c r="C81" s="19"/>
      <c r="D81" s="19"/>
      <c r="E81" s="19"/>
      <c r="F81" s="19"/>
      <c r="G81" s="19"/>
      <c r="H81" s="19"/>
      <c r="I81" s="46"/>
      <c r="J81" s="47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5"/>
      <c r="V81" s="20"/>
    </row>
    <row r="82" ht="21.75" customHeight="1" spans="1:36">
      <c r="A82" s="18"/>
      <c r="B82" s="45"/>
      <c r="C82" s="19"/>
      <c r="D82" s="19"/>
      <c r="E82" s="19"/>
      <c r="F82" s="19"/>
      <c r="G82" s="19"/>
      <c r="H82" s="19"/>
      <c r="I82" s="46"/>
      <c r="J82" s="47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5"/>
      <c r="V82" s="20"/>
    </row>
    <row r="83" ht="21.75" customHeight="1" spans="1:36">
      <c r="A83" s="18"/>
      <c r="B83" s="45"/>
      <c r="C83" s="19"/>
      <c r="D83" s="19"/>
      <c r="E83" s="19"/>
      <c r="F83" s="19"/>
      <c r="G83" s="19"/>
      <c r="H83" s="19"/>
      <c r="I83" s="46"/>
      <c r="J83" s="56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8"/>
      <c r="V83" s="20"/>
    </row>
    <row r="84" ht="21.75" customHeight="1" spans="1:36">
      <c r="A84" s="18"/>
      <c r="B84" s="45"/>
      <c r="C84" s="19"/>
      <c r="D84" s="19"/>
      <c r="E84" s="19"/>
      <c r="F84" s="19"/>
      <c r="G84" s="19"/>
      <c r="H84" s="19"/>
      <c r="I84" s="46"/>
      <c r="J84" s="59"/>
      <c r="K84" s="60"/>
      <c r="L84" s="48"/>
      <c r="M84" s="48"/>
      <c r="N84" s="48"/>
      <c r="O84" s="48"/>
      <c r="P84" s="48"/>
      <c r="Q84" s="48"/>
      <c r="R84" s="61"/>
      <c r="S84" s="62" t="s">
        <v>56</v>
      </c>
      <c r="T84" s="63"/>
      <c r="U84" s="64" t="s">
        <v>57</v>
      </c>
      <c r="V84" s="65"/>
    </row>
    <row r="85" ht="21.75" customHeight="1" spans="1:36">
      <c r="A85" s="18"/>
      <c r="B85" s="45"/>
      <c r="C85" s="19"/>
      <c r="D85" s="19"/>
      <c r="E85" s="19"/>
      <c r="F85" s="19"/>
      <c r="G85" s="19"/>
      <c r="H85" s="19"/>
      <c r="I85" s="46"/>
      <c r="J85" s="66"/>
      <c r="K85" s="67"/>
      <c r="L85" s="54"/>
      <c r="M85" s="54"/>
      <c r="N85" s="54"/>
      <c r="O85" s="54"/>
      <c r="P85" s="54"/>
      <c r="Q85" s="54"/>
      <c r="R85" s="68"/>
      <c r="S85" s="69" t="str">
        <f>$H$4</f>
        <v>: </v>
      </c>
      <c r="T85" s="70"/>
      <c r="U85" s="71"/>
      <c r="V85" s="20"/>
    </row>
    <row r="86" ht="21.75" customHeight="1" spans="1:36">
      <c r="A86" s="18"/>
      <c r="B86" s="45"/>
      <c r="C86" s="19"/>
      <c r="D86" s="19"/>
      <c r="E86" s="19"/>
      <c r="F86" s="19"/>
      <c r="G86" s="19"/>
      <c r="H86" s="19"/>
      <c r="I86" s="46"/>
      <c r="J86" s="47"/>
      <c r="K86" s="54"/>
      <c r="L86" s="54"/>
      <c r="M86" s="54"/>
      <c r="N86" s="54"/>
      <c r="O86" s="54"/>
      <c r="P86" s="54"/>
      <c r="Q86" s="54"/>
      <c r="R86" s="68"/>
      <c r="S86" s="72"/>
      <c r="T86" s="70"/>
      <c r="U86" s="71"/>
      <c r="V86" s="20"/>
    </row>
    <row r="87" ht="21.75" customHeight="1" spans="1:36">
      <c r="A87" s="18"/>
      <c r="B87" s="45"/>
      <c r="C87" s="19"/>
      <c r="D87" s="19"/>
      <c r="E87" s="19"/>
      <c r="F87" s="19"/>
      <c r="G87" s="19"/>
      <c r="H87" s="19"/>
      <c r="I87" s="46"/>
      <c r="J87" s="47"/>
      <c r="K87" s="54"/>
      <c r="L87" s="54"/>
      <c r="M87" s="54"/>
      <c r="N87" s="54"/>
      <c r="O87" s="54"/>
      <c r="P87" s="54"/>
      <c r="Q87" s="54"/>
      <c r="R87" s="68"/>
      <c r="S87" s="72"/>
      <c r="T87" s="70"/>
      <c r="U87" s="71"/>
      <c r="V87" s="20"/>
    </row>
    <row r="88" ht="21.75" customHeight="1" spans="1:36">
      <c r="A88" s="18"/>
      <c r="B88" s="45"/>
      <c r="C88" s="19"/>
      <c r="D88" s="19"/>
      <c r="E88" s="19"/>
      <c r="F88" s="19"/>
      <c r="G88" s="19"/>
      <c r="H88" s="19"/>
      <c r="I88" s="46"/>
      <c r="J88" s="47"/>
      <c r="K88" s="54"/>
      <c r="L88" s="54"/>
      <c r="M88" s="54"/>
      <c r="N88" s="54"/>
      <c r="O88" s="54"/>
      <c r="P88" s="54"/>
      <c r="Q88" s="54"/>
      <c r="R88" s="68"/>
      <c r="S88" s="72"/>
      <c r="T88" s="70"/>
      <c r="U88" s="71"/>
      <c r="V88" s="20"/>
    </row>
    <row r="89" ht="21.75" customHeight="1" spans="1:36">
      <c r="A89" s="18"/>
      <c r="B89" s="45"/>
      <c r="C89" s="19"/>
      <c r="D89" s="19"/>
      <c r="E89" s="19"/>
      <c r="F89" s="19"/>
      <c r="G89" s="19"/>
      <c r="H89" s="19"/>
      <c r="I89" s="46"/>
      <c r="J89" s="47"/>
      <c r="K89" s="54"/>
      <c r="L89" s="54"/>
      <c r="M89" s="54"/>
      <c r="N89" s="54"/>
      <c r="O89" s="54"/>
      <c r="P89" s="54"/>
      <c r="Q89" s="54"/>
      <c r="R89" s="68"/>
      <c r="S89" s="72"/>
      <c r="T89" s="70"/>
      <c r="U89" s="71"/>
      <c r="V89" s="20"/>
    </row>
    <row r="90" ht="21.75" customHeight="1" spans="1:36">
      <c r="A90" s="18"/>
      <c r="B90" s="45"/>
      <c r="C90" s="19"/>
      <c r="D90" s="19"/>
      <c r="E90" s="19"/>
      <c r="F90" s="19"/>
      <c r="G90" s="19"/>
      <c r="H90" s="19"/>
      <c r="I90" s="46"/>
      <c r="J90" s="47"/>
      <c r="K90" s="54"/>
      <c r="L90" s="54"/>
      <c r="M90" s="54"/>
      <c r="N90" s="54"/>
      <c r="O90" s="54"/>
      <c r="P90" s="54"/>
      <c r="Q90" s="54"/>
      <c r="R90" s="68"/>
      <c r="S90" s="72"/>
      <c r="T90" s="70"/>
      <c r="U90" s="71"/>
      <c r="V90" s="20"/>
    </row>
    <row r="91" ht="21.75" customHeight="1" spans="1:36">
      <c r="A91" s="18"/>
      <c r="B91" s="73"/>
      <c r="C91" s="74"/>
      <c r="D91" s="74"/>
      <c r="E91" s="74"/>
      <c r="F91" s="74"/>
      <c r="G91" s="74"/>
      <c r="H91" s="74"/>
      <c r="I91" s="75"/>
      <c r="J91" s="76"/>
      <c r="K91" s="77"/>
      <c r="L91" s="77"/>
      <c r="M91" s="77"/>
      <c r="N91" s="77"/>
      <c r="O91" s="77"/>
      <c r="P91" s="77"/>
      <c r="Q91" s="77"/>
      <c r="R91" s="78"/>
      <c r="S91" s="79"/>
      <c r="T91" s="80"/>
      <c r="U91" s="81"/>
      <c r="V91" s="20"/>
      <c r="X91" s="21" t="s">
        <v>40</v>
      </c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</row>
    <row r="92" ht="15.75" spans="1:36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90"/>
    </row>
    <row r="93" ht="15.75"/>
  </sheetData>
  <mergeCells count="19">
    <mergeCell ref="S1:V1"/>
    <mergeCell ref="X7:AJ7"/>
    <mergeCell ref="B8:I8"/>
    <mergeCell ref="B9:I9"/>
    <mergeCell ref="S21:T21"/>
    <mergeCell ref="X28:AJ28"/>
    <mergeCell ref="B29:I29"/>
    <mergeCell ref="B30:I30"/>
    <mergeCell ref="S42:T42"/>
    <mergeCell ref="X49:AJ49"/>
    <mergeCell ref="B50:I50"/>
    <mergeCell ref="B51:I51"/>
    <mergeCell ref="S63:T63"/>
    <mergeCell ref="X70:AJ70"/>
    <mergeCell ref="B71:I71"/>
    <mergeCell ref="B72:I72"/>
    <mergeCell ref="S84:T84"/>
    <mergeCell ref="X91:AJ91"/>
    <mergeCell ref="A2:V3"/>
  </mergeCells>
  <printOptions horizontalCentered="1" verticalCentered="1"/>
  <pageMargins left="0.39" right="0.39" top="0.39" bottom="0.39" header="0" footer="0"/>
  <pageSetup paperSize="9" scale="38" fitToWidth="0" orientation="portrait" horizontalDpi="600" verticalDpi="300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3"/>
  <sheetViews>
    <sheetView topLeftCell="A16" workbookViewId="0">
      <selection activeCell="E13" sqref="E13"/>
    </sheetView>
  </sheetViews>
  <sheetFormatPr defaultColWidth="9.14285714285714" defaultRowHeight="15" outlineLevelCol="4"/>
  <cols>
    <col min="3" max="3" width="36.5714285714286" customWidth="1"/>
    <col min="5" max="5" width="19.1428571428571" customWidth="1"/>
  </cols>
  <sheetData>
    <row r="3" spans="3:5">
      <c r="C3" t="s">
        <v>60</v>
      </c>
      <c r="E3" t="s">
        <v>61</v>
      </c>
    </row>
    <row r="4" spans="3:5">
      <c r="C4" t="s">
        <v>62</v>
      </c>
      <c r="E4" t="s">
        <v>28</v>
      </c>
    </row>
    <row r="5" spans="3:5">
      <c r="C5" t="s">
        <v>63</v>
      </c>
      <c r="E5" t="s">
        <v>64</v>
      </c>
    </row>
    <row r="6" spans="3:5">
      <c r="C6" t="s">
        <v>65</v>
      </c>
      <c r="E6" t="s">
        <v>66</v>
      </c>
    </row>
    <row r="7" spans="3:5">
      <c r="C7" t="s">
        <v>67</v>
      </c>
      <c r="E7" t="s">
        <v>68</v>
      </c>
    </row>
    <row r="8" spans="3:5">
      <c r="C8" t="s">
        <v>69</v>
      </c>
    </row>
    <row r="9" spans="3:5">
      <c r="C9" t="s">
        <v>70</v>
      </c>
    </row>
    <row r="10" spans="3:5">
      <c r="C10" t="s">
        <v>71</v>
      </c>
    </row>
    <row r="11" spans="3:5">
      <c r="C11" t="s">
        <v>72</v>
      </c>
    </row>
    <row r="12" spans="3:5">
      <c r="C12" t="s">
        <v>73</v>
      </c>
    </row>
    <row r="13" spans="3:5">
      <c r="C13" t="s">
        <v>74</v>
      </c>
    </row>
    <row r="14" spans="3:5">
      <c r="C14" t="s">
        <v>75</v>
      </c>
    </row>
    <row r="15" spans="3:5">
      <c r="C15" t="s">
        <v>76</v>
      </c>
    </row>
    <row r="16" spans="3:5">
      <c r="C16" t="s">
        <v>77</v>
      </c>
    </row>
    <row r="17" spans="3:3">
      <c r="C17" t="s">
        <v>78</v>
      </c>
    </row>
    <row r="18" spans="3:3">
      <c r="C18" t="s">
        <v>79</v>
      </c>
    </row>
    <row r="19" spans="3:3">
      <c r="C19" t="s">
        <v>80</v>
      </c>
    </row>
    <row r="20" spans="3:3">
      <c r="C20" t="s">
        <v>81</v>
      </c>
    </row>
    <row r="21" spans="3:3">
      <c r="C21" t="s">
        <v>82</v>
      </c>
    </row>
    <row r="22" spans="3:3">
      <c r="C22" t="s">
        <v>83</v>
      </c>
    </row>
    <row r="23" spans="3:3">
      <c r="C2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Form Kosong</vt:lpstr>
      <vt:lpstr>CARA PENGISIAN</vt:lpstr>
      <vt:lpstr>Trendchart KPI Asst Man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DOM-15</dc:creator>
  <cp:lastModifiedBy>QAM Export2025</cp:lastModifiedBy>
  <dcterms:created xsi:type="dcterms:W3CDTF">2024-05-08T09:59:00Z</dcterms:created>
  <dcterms:modified xsi:type="dcterms:W3CDTF">2026-04-30T08:40:40Z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6AB859CEC0274438AA6FCDEB78D7284C_13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